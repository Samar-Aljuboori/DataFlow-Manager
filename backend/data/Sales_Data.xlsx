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1"/>
  <bookViews>
    <workbookView xWindow="240" yWindow="105" windowWidth="14805" windowHeight="8010" activeTab="1"/>
  </bookViews>
  <sheets>
    <sheet name="Sheet1" sheetId="2" r:id="rId2"/>
    <sheet name="Sales Data" sheetId="1" r:id="rId3"/>
  </sheets>
  <calcPr calcId="191028"/>
  <pivotCaches>
    <pivotCache cacheId="450" r:id="rId1"/>
  </pivotCaches>
</workbook>
</file>

<file path=xl/sharedStrings.xml><?xml version="1.0" encoding="utf-8"?>
<sst xmlns="http://schemas.openxmlformats.org/spreadsheetml/2006/main" count="130" uniqueCount="130">
  <si>
    <t>Region</t>
  </si>
  <si>
    <t xml:space="preserve">Sum of TotalPrice</t>
  </si>
  <si>
    <t>Central</t>
  </si>
  <si>
    <t>East</t>
  </si>
  <si>
    <t>North</t>
  </si>
  <si>
    <t>South</t>
  </si>
  <si>
    <t>West</t>
  </si>
  <si>
    <t xml:space="preserve">Grand Total</t>
  </si>
  <si>
    <t>City</t>
  </si>
  <si>
    <t>Category</t>
  </si>
  <si>
    <t>Product</t>
  </si>
  <si>
    <t>Berlin</t>
  </si>
  <si>
    <t xml:space="preserve">Audio &amp; Energy</t>
  </si>
  <si>
    <t xml:space="preserve">Wireless Earbuds</t>
  </si>
  <si>
    <t>Cologne</t>
  </si>
  <si>
    <t>Security</t>
  </si>
  <si>
    <t xml:space="preserve">Fitness Tracker</t>
  </si>
  <si>
    <t>Frankfurt</t>
  </si>
  <si>
    <t xml:space="preserve">Smart Home</t>
  </si>
  <si>
    <t xml:space="preserve">HD Outdoor Camera</t>
  </si>
  <si>
    <t>Hamburg</t>
  </si>
  <si>
    <t>Wearables</t>
  </si>
  <si>
    <t xml:space="preserve">Smart Thermostat</t>
  </si>
  <si>
    <t>Munich</t>
  </si>
  <si>
    <t>Date</t>
  </si>
  <si>
    <t>OrderID</t>
  </si>
  <si>
    <t>Qty</t>
  </si>
  <si>
    <t>UnitPrice</t>
  </si>
  <si>
    <t>TotalPrice</t>
  </si>
  <si>
    <t>Year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</si>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</sst>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[$€-2]\ * #,##0.00_-;\-[$€-2]\ * #,##0.00_-;_-[$€-2]\ * &quot;-&quot;??_-;_-@_-"/>
    <numFmt numFmtId="165" formatCode="_-[$€-2]\ * #,##0_-;\-[$€-2]\ * #,##0_-;_-[$€-2]\ * &quot;-&quot;??_-;_-@_-"/>
  </numFmts>
  <fonts count="2">
    <font>
      <sz val="11.000000"/>
      <color theme="1"/>
      <name val="Calibri"/>
      <scheme val="minor"/>
    </font>
    <font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0">
    <xf fontId="0" fillId="0" borderId="0" numFmtId="0" xfId="0"/>
    <xf fontId="0" fillId="0" borderId="0" numFmtId="14" xfId="0" applyNumberFormat="1"/>
    <xf fontId="1" fillId="0" borderId="0" numFmtId="0" xfId="0" applyFont="1"/>
    <xf fontId="1" fillId="0" borderId="0" numFmtId="14" xfId="0" applyNumberFormat="1" applyFont="1" applyAlignment="1">
      <alignment horizontal="left"/>
    </xf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1" fillId="0" borderId="0" numFmtId="164" xfId="0" applyNumberFormat="1" applyFont="1" applyAlignment="1">
      <alignment horizontal="center"/>
    </xf>
    <xf fontId="1" fillId="0" borderId="0" numFmtId="165" xfId="0" applyNumberFormat="1" applyFont="1" applyAlignment="1">
      <alignment horizontal="center"/>
    </xf>
    <xf fontId="0" fillId="0" borderId="0" numFmtId="0" xfId="0" pivotButton="1"/>
    <xf fontId="0" fillId="0" borderId="0" numFmtId="165" xfId="0" applyNumberFormat="1"/>
  </cellXfs>
  <cellStyles count="1">
    <cellStyle name="Normal" xfId="0" builtinId="0"/>
  </cellStyles>
  <dxfs count="12">
    <dxf>
      <font>
        <sz val="14.000000"/>
      </font>
      <numFmt numFmtId="0" formatCode="General"/>
    </dxf>
    <dxf>
      <font>
        <sz val="14.000000"/>
      </font>
      <numFmt numFmtId="165" formatCode="_-[$€-2]\ * #,##0_-;\-[$€-2]\ * #,##0_-;_-[$€-2]\ * &quot;-&quot;??_-;_-@_-"/>
      <alignment horizontal="center"/>
    </dxf>
    <dxf>
      <font>
        <sz val="14.000000"/>
      </font>
      <numFmt numFmtId="164" formatCode="_-[$€-2]\ * #,##0.00_-;\-[$€-2]\ * #,##0.00_-;_-[$€-2]\ * &quot;-&quot;??_-;_-@_-"/>
      <alignment horizontal="center"/>
    </dxf>
    <dxf>
      <font>
        <sz val="14.000000"/>
      </font>
      <alignment horizontal="center"/>
    </dxf>
    <dxf>
      <font>
        <sz val="14.000000"/>
      </font>
    </dxf>
    <dxf>
      <font>
        <sz val="14.000000"/>
      </font>
    </dxf>
    <dxf>
      <font>
        <sz val="14.000000"/>
      </font>
    </dxf>
    <dxf>
      <font>
        <sz val="14.000000"/>
      </font>
    </dxf>
    <dxf>
      <font>
        <sz val="14.000000"/>
      </font>
      <numFmt numFmtId="19" formatCode="dd/mm/yyyy"/>
      <alignment horizontal="left"/>
    </dxf>
    <dxf>
      <font>
        <sz val="14.000000"/>
      </font>
    </dxf>
    <dxf>
      <font>
        <sz val="14.000000"/>
      </font>
    </dxf>
    <dxf>
      <font>
        <sz val="14.000000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pivotSource>
    <c:name>[Book 2.xlsx]Sheet1!PivotTable2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Sheet1!$B$4:$B$9</c:f>
              <c:numCache>
                <c:formatCode>_-[$€-2]\ * #,##0_-;\-[$€-2]\ * #,##0_-;_-[$€-2]\ * "-"??_-;_-@_-</c:formatCode>
                <c:ptCount val="5"/>
                <c:pt idx="0">
                  <c:v>42635.89</c:v>
                </c:pt>
                <c:pt idx="1">
                  <c:v>40675.97</c:v>
                </c:pt>
                <c:pt idx="2">
                  <c:v>45275.299999999996</c:v>
                </c:pt>
                <c:pt idx="3">
                  <c:v>46915.53</c:v>
                </c:pt>
                <c:pt idx="4">
                  <c:v>50125.020000000004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pivotSource>
    <c:name>[Book 2.xlsx]Sheet1!PivotTable5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Sheet1!$A$20:$A$25</c:f>
              <c:strCache>
                <c:ptCount val="5"/>
                <c:pt idx="0">
                  <c:v>Berlin</c:v>
                </c:pt>
                <c:pt idx="1">
                  <c:v>Cologne</c:v>
                </c:pt>
                <c:pt idx="2">
                  <c:v>Frankfurt</c:v>
                </c:pt>
                <c:pt idx="3">
                  <c:v>Hamburg</c:v>
                </c:pt>
                <c:pt idx="4">
                  <c:v>Munich</c:v>
                </c:pt>
              </c:strCache>
            </c:strRef>
          </c:cat>
          <c:val>
            <c:numRef>
              <c:f>Sheet1!$B$20:$B$25</c:f>
              <c:numCache>
                <c:formatCode>_-[$€-2]\ * #,##0_-;\-[$€-2]\ * #,##0_-;_-[$€-2]\ * "-"??_-;_-@_-</c:formatCode>
                <c:ptCount val="5"/>
                <c:pt idx="0">
                  <c:v>40675.97</c:v>
                </c:pt>
                <c:pt idx="1">
                  <c:v>50125.020000000004</c:v>
                </c:pt>
                <c:pt idx="2">
                  <c:v>42635.89</c:v>
                </c:pt>
                <c:pt idx="3">
                  <c:v>45275.299999999996</c:v>
                </c:pt>
                <c:pt idx="4">
                  <c:v>46915.53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1288583"/>
        <c:axId val="731290631"/>
      </c:barChart>
      <c:catAx>
        <c:axId val="73128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90631"/>
        <c:crosses val="autoZero"/>
        <c:auto val="1"/>
        <c:lblAlgn val="ctr"/>
        <c:lblOffset val="100"/>
        <c:noMultiLvlLbl val="0"/>
      </c:catAx>
      <c:valAx>
        <c:axId val="731290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88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pivotSource>
    <c:name>[Book 2.xlsx]Sheet1!PivotTable6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Sheet1!$D$20:$D$24</c:f>
              <c:strCache>
                <c:ptCount val="4"/>
                <c:pt idx="0">
                  <c:v>Audio &amp; Energy</c:v>
                </c:pt>
                <c:pt idx="1">
                  <c:v>Security</c:v>
                </c:pt>
                <c:pt idx="2">
                  <c:v>Smart Home</c:v>
                </c:pt>
                <c:pt idx="3">
                  <c:v>Wearables</c:v>
                </c:pt>
              </c:strCache>
            </c:strRef>
          </c:cat>
          <c:val>
            <c:numRef>
              <c:f>Sheet1!$E$20:$E$24</c:f>
              <c:numCache>
                <c:formatCode>_-[$€-2]\ * #,##0_-;\-[$€-2]\ * #,##0_-;_-[$€-2]\ * "-"??_-;_-@_-</c:formatCode>
                <c:ptCount val="4"/>
                <c:pt idx="0">
                  <c:v>28694.260000000002</c:v>
                </c:pt>
                <c:pt idx="1">
                  <c:v>70454.58</c:v>
                </c:pt>
                <c:pt idx="2">
                  <c:v>80244.650000000009</c:v>
                </c:pt>
                <c:pt idx="3">
                  <c:v>46234.219999999987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32584"/>
        <c:axId val="452625415"/>
      </c:areaChart>
      <c:catAx>
        <c:axId val="159832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25415"/>
        <c:crosses val="autoZero"/>
        <c:auto val="1"/>
        <c:lblAlgn val="ctr"/>
        <c:lblOffset val="100"/>
        <c:noMultiLvlLbl val="0"/>
      </c:catAx>
      <c:valAx>
        <c:axId val="452625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pivotSource>
    <c:name>[Book 2.xlsx]Sheet1!PivotTable8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Sheet1!$G$20:$G$24</c:f>
              <c:strCache>
                <c:ptCount val="4"/>
                <c:pt idx="0">
                  <c:v>Wireless Earbuds</c:v>
                </c:pt>
                <c:pt idx="1">
                  <c:v>Fitness Tracker</c:v>
                </c:pt>
                <c:pt idx="2">
                  <c:v>HD Outdoor Camera</c:v>
                </c:pt>
                <c:pt idx="3">
                  <c:v>Smart Thermostat</c:v>
                </c:pt>
              </c:strCache>
            </c:strRef>
          </c:cat>
          <c:val>
            <c:numRef>
              <c:f>Sheet1!$H$20:$H$24</c:f>
              <c:numCache>
                <c:formatCode>_-[$€-2]\ * #,##0_-;\-[$€-2]\ * #,##0_-;_-[$€-2]\ * "-"??_-;_-@_-</c:formatCode>
                <c:ptCount val="4"/>
                <c:pt idx="0">
                  <c:v>28694.260000000002</c:v>
                </c:pt>
                <c:pt idx="1">
                  <c:v>46234.219999999987</c:v>
                </c:pt>
                <c:pt idx="2">
                  <c:v>70454.58</c:v>
                </c:pt>
                <c:pt idx="3">
                  <c:v>80244.650000000009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61388039"/>
        <c:axId val="961373703"/>
      </c:barChart>
      <c:catAx>
        <c:axId val="961388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73703"/>
        <c:crosses val="autoZero"/>
        <c:auto val="1"/>
        <c:lblAlgn val="ctr"/>
        <c:lblOffset val="100"/>
        <c:noMultiLvlLbl val="0"/>
      </c:catAx>
      <c:valAx>
        <c:axId val="961373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_-;\-[$€-2]\ * #,##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388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2</xdr:col>
      <xdr:colOff>47625</xdr:colOff>
      <xdr:row>0</xdr:row>
      <xdr:rowOff>0</xdr:rowOff>
    </xdr:from>
    <xdr:to>
      <xdr:col>9</xdr:col>
      <xdr:colOff>180975</xdr:colOff>
      <xdr:row>14</xdr:row>
      <xdr:rowOff>76200</xdr:rowOff>
    </xdr:to>
    <xdr:graphicFrame macro=""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0</xdr:row>
      <xdr:rowOff>0</xdr:rowOff>
    </xdr:from>
    <xdr:to>
      <xdr:col>16</xdr:col>
      <xdr:colOff>495299</xdr:colOff>
      <xdr:row>14</xdr:row>
      <xdr:rowOff>95250</xdr:rowOff>
    </xdr:to>
    <xdr:graphicFrame macro=""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533400</xdr:colOff>
      <xdr:row>0</xdr:row>
      <xdr:rowOff>0</xdr:rowOff>
    </xdr:from>
    <xdr:to>
      <xdr:col>24</xdr:col>
      <xdr:colOff>228600</xdr:colOff>
      <xdr:row>14</xdr:row>
      <xdr:rowOff>76200</xdr:rowOff>
    </xdr:to>
    <xdr:graphicFrame macro=""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304800</xdr:colOff>
      <xdr:row>15</xdr:row>
      <xdr:rowOff>19050</xdr:rowOff>
    </xdr:from>
    <xdr:to>
      <xdr:col>15</xdr:col>
      <xdr:colOff>533400</xdr:colOff>
      <xdr:row>29</xdr:row>
      <xdr:rowOff>123824</xdr:rowOff>
    </xdr:to>
    <xdr:graphicFrame macro="">
      <xdr:nvGraphicFramePr>
        <xdr:cNvPr id="6" name="Chart 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1.535511111113" createdVersion="8" refreshedVersion="8" minRefreshableVersion="3" recordCount="100" xr:uid="{DE7211C7-6332-4D44-99FD-02F5019D7C40}">
  <cacheSource type="worksheet">
    <worksheetSource name="Tech_Sales_Report_2021_2024"/>
  </cacheSource>
  <cacheFields count="9">
    <cacheField name="OrderID" numFmtId="0">
      <sharedItems/>
    </cacheField>
    <cacheField name="Date" numFmtId="14">
      <sharedItems containsSemiMixedTypes="0" containsNonDate="0" containsDate="1" containsString="0" minDate="2021-01-05T00:00:00" maxDate="2024-10-16T00:00:00" count="100">
        <d v="2021-01-05T00:00:00"/>
        <d v="2021-01-12T00:00:00"/>
        <d v="2021-01-28T00:00:00"/>
        <d v="2021-02-10T00:00:00"/>
        <d v="2021-02-24T00:00:00"/>
        <d v="2021-03-08T00:00:00"/>
        <d v="2021-03-19T00:00:00"/>
        <d v="2021-04-02T00:00:00"/>
        <d v="2021-04-15T00:00:00"/>
        <d v="2021-04-30T00:00:00"/>
        <d v="2021-05-11T00:00:00"/>
        <d v="2021-05-25T00:00:00"/>
        <d v="2021-06-09T00:00:00"/>
        <d v="2021-06-22T00:00:00"/>
        <d v="2021-07-04T00:00:00"/>
        <d v="2021-07-18T00:00:00"/>
        <d v="2021-08-03T00:00:00"/>
        <d v="2021-08-17T00:00:00"/>
        <d v="2021-09-01T00:00:00"/>
        <d v="2021-09-14T00:00:00"/>
        <d v="2021-09-29T00:00:00"/>
        <d v="2021-10-12T00:00:00"/>
        <d v="2021-10-26T00:00:00"/>
        <d v="2021-11-09T00:00:00"/>
        <d v="2021-11-23T00:00:00"/>
        <d v="2021-12-08T00:00:00"/>
        <d v="2021-12-22T00:00:00"/>
        <d v="2022-01-07T00:00:00"/>
        <d v="2022-01-18T00:00:00"/>
        <d v="2022-02-02T00:00:00"/>
        <d v="2022-02-16T00:00:00"/>
        <d v="2022-03-03T00:00:00"/>
        <d v="2022-03-17T00:00:00"/>
        <d v="2022-04-01T00:00:00"/>
        <d v="2022-04-14T00:00:00"/>
        <d v="2022-04-28T00:00:00"/>
        <d v="2022-05-12T00:00:00"/>
        <d v="2022-05-26T00:00:00"/>
        <d v="2022-06-09T00:00:00"/>
        <d v="2022-06-23T00:00:00"/>
        <d v="2022-07-07T00:00:00"/>
        <d v="2022-07-21T00:00:00"/>
        <d v="2022-08-05T00:00:00"/>
        <d v="2022-08-19T00:00:00"/>
        <d v="2022-09-02T00:00:00"/>
        <d v="2022-09-16T00:00:00"/>
        <d v="2022-09-30T00:00:00"/>
        <d v="2022-10-14T00:00:00"/>
        <d v="2022-10-28T00:00:00"/>
        <d v="2022-11-11T00:00:00"/>
        <d v="2022-11-25T00:00:00"/>
        <d v="2022-12-09T00:00:00"/>
        <d v="2022-12-23T00:00:00"/>
        <d v="2023-01-10T00:00:00"/>
        <d v="2023-01-24T00:00:00"/>
        <d v="2023-02-07T00:00:00"/>
        <d v="2023-02-21T00:00:00"/>
        <d v="2023-03-07T00:00:00"/>
        <d v="2023-03-21T00:00:00"/>
        <d v="2023-04-04T00:00:00"/>
        <d v="2023-04-18T00:00:00"/>
        <d v="2023-05-02T00:00:00"/>
        <d v="2023-05-16T00:00:00"/>
        <d v="2023-05-30T00:00:00"/>
        <d v="2023-06-13T00:00:00"/>
        <d v="2023-06-27T00:00:00"/>
        <d v="2023-07-11T00:00:00"/>
        <d v="2023-07-25T00:00:00"/>
        <d v="2023-08-08T00:00:00"/>
        <d v="2023-08-22T00:00:00"/>
        <d v="2023-09-05T00:00:00"/>
        <d v="2023-09-19T00:00:00"/>
        <d v="2023-10-03T00:00:00"/>
        <d v="2023-10-17T00:00:00"/>
        <d v="2023-10-31T00:00:00"/>
        <d v="2023-11-14T00:00:00"/>
        <d v="2023-11-28T00:00:00"/>
        <d v="2023-12-12T00:00:00"/>
        <d v="2023-12-26T00:00:00"/>
        <d v="2024-01-09T00:00:00"/>
        <d v="2024-01-23T00:00:00"/>
        <d v="2024-02-06T00:00:00"/>
        <d v="2024-02-20T00:00:00"/>
        <d v="2024-03-05T00:00:00"/>
        <d v="2024-03-19T00:00:00"/>
        <d v="2024-04-02T00:00:00"/>
        <d v="2024-04-16T00:00:00"/>
        <d v="2024-04-30T00:00:00"/>
        <d v="2024-05-14T00:00:00"/>
        <d v="2024-05-28T00:00:00"/>
        <d v="2024-06-11T00:00:00"/>
        <d v="2024-06-25T00:00:00"/>
        <d v="2024-07-09T00:00:00"/>
        <d v="2024-07-23T00:00:00"/>
        <d v="2024-08-06T00:00:00"/>
        <d v="2024-08-20T00:00:00"/>
        <d v="2024-09-03T00:00:00"/>
        <d v="2024-09-17T00:00:00"/>
        <d v="2024-10-01T00:00:00"/>
        <d v="2024-10-15T00:00:00"/>
      </sharedItems>
    </cacheField>
    <cacheField name="Region" numFmtId="0">
      <sharedItems count="5">
        <s v="North"/>
        <s v="East"/>
        <s v="West"/>
        <s v="South"/>
        <s v="Central"/>
      </sharedItems>
    </cacheField>
    <cacheField name="City" numFmtId="0">
      <sharedItems count="5">
        <s v="Hamburg"/>
        <s v="Berlin"/>
        <s v="Cologne"/>
        <s v="Munich"/>
        <s v="Frankfurt"/>
      </sharedItems>
    </cacheField>
    <cacheField name="Category" numFmtId="0">
      <sharedItems count="4">
        <s v="Smart Home"/>
        <s v="Wearables"/>
        <s v="Security"/>
        <s v="Audio &amp; Energy"/>
      </sharedItems>
    </cacheField>
    <cacheField name="Product" numFmtId="0">
      <sharedItems count="4">
        <s v="Smart Thermostat"/>
        <s v="Fitness Tracker"/>
        <s v="HD Outdoor Camera"/>
        <s v="Wireless Earbuds"/>
      </sharedItems>
    </cacheField>
    <cacheField name="Qty" numFmtId="0">
      <sharedItems containsSemiMixedTypes="0" containsString="0" containsNumber="1" containsInteger="1" minValue="4" maxValue="45"/>
    </cacheField>
    <cacheField name="UnitPrice" numFmtId="164">
      <sharedItems containsSemiMixedTypes="0" containsString="0" containsNumber="1" minValue="49.99" maxValue="149.99"/>
    </cacheField>
    <cacheField name="TotalPrice" numFmtId="165">
      <sharedItems containsSemiMixedTypes="0" containsString="0" containsNumber="1" minValue="249.95000000000002" maxValue="6449.57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2001"/>
    <x v="0"/>
    <x v="0"/>
    <x v="0"/>
    <x v="0"/>
    <x v="0"/>
    <n v="15"/>
    <n v="149.99"/>
    <n v="2249.8500000000004"/>
  </r>
  <r>
    <s v="ORD-2002"/>
    <x v="1"/>
    <x v="1"/>
    <x v="1"/>
    <x v="1"/>
    <x v="1"/>
    <n v="8"/>
    <n v="79.989999999999995"/>
    <n v="639.91999999999996"/>
  </r>
  <r>
    <s v="ORD-2003"/>
    <x v="2"/>
    <x v="2"/>
    <x v="2"/>
    <x v="2"/>
    <x v="2"/>
    <n v="24"/>
    <n v="129.99"/>
    <n v="3119.76"/>
  </r>
  <r>
    <s v="ORD-2004"/>
    <x v="3"/>
    <x v="3"/>
    <x v="3"/>
    <x v="3"/>
    <x v="3"/>
    <n v="30"/>
    <n v="49.99"/>
    <n v="1499.7"/>
  </r>
  <r>
    <s v="ORD-2005"/>
    <x v="4"/>
    <x v="4"/>
    <x v="4"/>
    <x v="0"/>
    <x v="0"/>
    <n v="12"/>
    <n v="149.99"/>
    <n v="1799.88"/>
  </r>
  <r>
    <s v="ORD-2006"/>
    <x v="5"/>
    <x v="0"/>
    <x v="0"/>
    <x v="1"/>
    <x v="1"/>
    <n v="40"/>
    <n v="79.989999999999995"/>
    <n v="3199.6"/>
  </r>
  <r>
    <s v="ORD-2007"/>
    <x v="6"/>
    <x v="1"/>
    <x v="1"/>
    <x v="2"/>
    <x v="2"/>
    <n v="5"/>
    <n v="129.99"/>
    <n v="649.95000000000005"/>
  </r>
  <r>
    <s v="ORD-2008"/>
    <x v="7"/>
    <x v="2"/>
    <x v="2"/>
    <x v="3"/>
    <x v="3"/>
    <n v="18"/>
    <n v="49.99"/>
    <n v="899.82"/>
  </r>
  <r>
    <s v="ORD-2009"/>
    <x v="8"/>
    <x v="3"/>
    <x v="3"/>
    <x v="0"/>
    <x v="0"/>
    <n v="22"/>
    <n v="149.99"/>
    <n v="3299.78"/>
  </r>
  <r>
    <s v="ORD-2010"/>
    <x v="9"/>
    <x v="4"/>
    <x v="4"/>
    <x v="1"/>
    <x v="1"/>
    <n v="35"/>
    <n v="79.989999999999995"/>
    <n v="2799.6499999999996"/>
  </r>
  <r>
    <s v="ORD-2011"/>
    <x v="10"/>
    <x v="2"/>
    <x v="2"/>
    <x v="2"/>
    <x v="2"/>
    <n v="10"/>
    <n v="129.99"/>
    <n v="1299.9000000000001"/>
  </r>
  <r>
    <s v="ORD-2012"/>
    <x v="11"/>
    <x v="0"/>
    <x v="0"/>
    <x v="3"/>
    <x v="3"/>
    <n v="14"/>
    <n v="49.99"/>
    <n v="699.86"/>
  </r>
  <r>
    <s v="ORD-2013"/>
    <x v="12"/>
    <x v="3"/>
    <x v="3"/>
    <x v="0"/>
    <x v="0"/>
    <n v="28"/>
    <n v="149.99"/>
    <n v="4199.72"/>
  </r>
  <r>
    <s v="ORD-2014"/>
    <x v="13"/>
    <x v="1"/>
    <x v="1"/>
    <x v="1"/>
    <x v="1"/>
    <n v="6"/>
    <n v="79.989999999999995"/>
    <n v="479.93999999999994"/>
  </r>
  <r>
    <s v="ORD-2015"/>
    <x v="14"/>
    <x v="4"/>
    <x v="4"/>
    <x v="2"/>
    <x v="2"/>
    <n v="19"/>
    <n v="129.99"/>
    <n v="2469.8100000000004"/>
  </r>
  <r>
    <s v="ORD-2016"/>
    <x v="15"/>
    <x v="0"/>
    <x v="0"/>
    <x v="3"/>
    <x v="3"/>
    <n v="42"/>
    <n v="49.99"/>
    <n v="2099.58"/>
  </r>
  <r>
    <s v="ORD-2017"/>
    <x v="16"/>
    <x v="1"/>
    <x v="1"/>
    <x v="0"/>
    <x v="0"/>
    <n v="11"/>
    <n v="149.99"/>
    <n v="1649.89"/>
  </r>
  <r>
    <s v="ORD-2018"/>
    <x v="17"/>
    <x v="2"/>
    <x v="2"/>
    <x v="1"/>
    <x v="1"/>
    <n v="25"/>
    <n v="79.989999999999995"/>
    <n v="1999.7499999999998"/>
  </r>
  <r>
    <s v="ORD-2019"/>
    <x v="18"/>
    <x v="3"/>
    <x v="3"/>
    <x v="2"/>
    <x v="2"/>
    <n v="33"/>
    <n v="129.99"/>
    <n v="4289.67"/>
  </r>
  <r>
    <s v="ORD-2020"/>
    <x v="19"/>
    <x v="4"/>
    <x v="4"/>
    <x v="3"/>
    <x v="3"/>
    <n v="7"/>
    <n v="49.99"/>
    <n v="349.93"/>
  </r>
  <r>
    <s v="ORD-2021"/>
    <x v="20"/>
    <x v="2"/>
    <x v="2"/>
    <x v="0"/>
    <x v="0"/>
    <n v="16"/>
    <n v="149.99"/>
    <n v="2399.84"/>
  </r>
  <r>
    <s v="ORD-2022"/>
    <x v="21"/>
    <x v="0"/>
    <x v="0"/>
    <x v="1"/>
    <x v="1"/>
    <n v="29"/>
    <n v="79.989999999999995"/>
    <n v="2319.71"/>
  </r>
  <r>
    <s v="ORD-2023"/>
    <x v="22"/>
    <x v="3"/>
    <x v="3"/>
    <x v="2"/>
    <x v="2"/>
    <n v="38"/>
    <n v="129.99"/>
    <n v="4939.6200000000008"/>
  </r>
  <r>
    <s v="ORD-2024"/>
    <x v="23"/>
    <x v="1"/>
    <x v="1"/>
    <x v="3"/>
    <x v="3"/>
    <n v="9"/>
    <n v="49.99"/>
    <n v="449.91"/>
  </r>
  <r>
    <s v="ORD-2025"/>
    <x v="24"/>
    <x v="4"/>
    <x v="4"/>
    <x v="0"/>
    <x v="0"/>
    <n v="20"/>
    <n v="149.99"/>
    <n v="2999.8"/>
  </r>
  <r>
    <s v="ORD-2026"/>
    <x v="25"/>
    <x v="0"/>
    <x v="0"/>
    <x v="1"/>
    <x v="1"/>
    <n v="45"/>
    <n v="79.989999999999995"/>
    <n v="3599.5499999999997"/>
  </r>
  <r>
    <s v="ORD-2027"/>
    <x v="26"/>
    <x v="1"/>
    <x v="1"/>
    <x v="2"/>
    <x v="2"/>
    <n v="13"/>
    <n v="129.99"/>
    <n v="1689.8700000000001"/>
  </r>
  <r>
    <s v="ORD-2028"/>
    <x v="27"/>
    <x v="2"/>
    <x v="2"/>
    <x v="3"/>
    <x v="3"/>
    <n v="27"/>
    <n v="49.99"/>
    <n v="1349.73"/>
  </r>
  <r>
    <s v="ORD-2029"/>
    <x v="28"/>
    <x v="3"/>
    <x v="3"/>
    <x v="0"/>
    <x v="0"/>
    <n v="31"/>
    <n v="149.99"/>
    <n v="4649.6900000000005"/>
  </r>
  <r>
    <s v="ORD-2030"/>
    <x v="29"/>
    <x v="4"/>
    <x v="4"/>
    <x v="1"/>
    <x v="1"/>
    <n v="4"/>
    <n v="79.989999999999995"/>
    <n v="319.95999999999998"/>
  </r>
  <r>
    <s v="ORD-2031"/>
    <x v="30"/>
    <x v="0"/>
    <x v="0"/>
    <x v="2"/>
    <x v="2"/>
    <n v="17"/>
    <n v="129.99"/>
    <n v="2209.83"/>
  </r>
  <r>
    <s v="ORD-2032"/>
    <x v="31"/>
    <x v="1"/>
    <x v="1"/>
    <x v="3"/>
    <x v="3"/>
    <n v="23"/>
    <n v="49.99"/>
    <n v="1149.77"/>
  </r>
  <r>
    <s v="ORD-2033"/>
    <x v="32"/>
    <x v="2"/>
    <x v="2"/>
    <x v="0"/>
    <x v="0"/>
    <n v="36"/>
    <n v="149.99"/>
    <n v="5399.64"/>
  </r>
  <r>
    <s v="ORD-2034"/>
    <x v="33"/>
    <x v="3"/>
    <x v="3"/>
    <x v="1"/>
    <x v="1"/>
    <n v="8"/>
    <n v="79.989999999999995"/>
    <n v="639.91999999999996"/>
  </r>
  <r>
    <s v="ORD-2035"/>
    <x v="34"/>
    <x v="4"/>
    <x v="4"/>
    <x v="2"/>
    <x v="2"/>
    <n v="21"/>
    <n v="129.99"/>
    <n v="2729.79"/>
  </r>
  <r>
    <s v="ORD-2036"/>
    <x v="35"/>
    <x v="2"/>
    <x v="2"/>
    <x v="3"/>
    <x v="3"/>
    <n v="39"/>
    <n v="49.99"/>
    <n v="1949.6100000000001"/>
  </r>
  <r>
    <s v="ORD-2037"/>
    <x v="36"/>
    <x v="0"/>
    <x v="0"/>
    <x v="0"/>
    <x v="0"/>
    <n v="12"/>
    <n v="149.99"/>
    <n v="1799.88"/>
  </r>
  <r>
    <s v="ORD-2038"/>
    <x v="37"/>
    <x v="3"/>
    <x v="3"/>
    <x v="1"/>
    <x v="1"/>
    <n v="26"/>
    <n v="79.989999999999995"/>
    <n v="2079.7399999999998"/>
  </r>
  <r>
    <s v="ORD-2039"/>
    <x v="38"/>
    <x v="1"/>
    <x v="1"/>
    <x v="2"/>
    <x v="2"/>
    <n v="34"/>
    <n v="129.99"/>
    <n v="4419.66"/>
  </r>
  <r>
    <s v="ORD-2040"/>
    <x v="39"/>
    <x v="4"/>
    <x v="4"/>
    <x v="3"/>
    <x v="3"/>
    <n v="15"/>
    <n v="49.99"/>
    <n v="749.85"/>
  </r>
  <r>
    <s v="ORD-2041"/>
    <x v="40"/>
    <x v="0"/>
    <x v="0"/>
    <x v="0"/>
    <x v="0"/>
    <n v="30"/>
    <n v="149.99"/>
    <n v="4499.7000000000007"/>
  </r>
  <r>
    <s v="ORD-2042"/>
    <x v="41"/>
    <x v="1"/>
    <x v="1"/>
    <x v="1"/>
    <x v="1"/>
    <n v="6"/>
    <n v="79.989999999999995"/>
    <n v="479.93999999999994"/>
  </r>
  <r>
    <s v="ORD-2043"/>
    <x v="42"/>
    <x v="2"/>
    <x v="2"/>
    <x v="2"/>
    <x v="2"/>
    <n v="18"/>
    <n v="129.99"/>
    <n v="2339.8200000000002"/>
  </r>
  <r>
    <s v="ORD-2044"/>
    <x v="43"/>
    <x v="3"/>
    <x v="3"/>
    <x v="3"/>
    <x v="3"/>
    <n v="41"/>
    <n v="49.99"/>
    <n v="2049.59"/>
  </r>
  <r>
    <s v="ORD-2045"/>
    <x v="44"/>
    <x v="4"/>
    <x v="4"/>
    <x v="0"/>
    <x v="0"/>
    <n v="10"/>
    <n v="149.99"/>
    <n v="1499.9"/>
  </r>
  <r>
    <s v="ORD-2046"/>
    <x v="45"/>
    <x v="2"/>
    <x v="2"/>
    <x v="1"/>
    <x v="1"/>
    <n v="24"/>
    <n v="79.989999999999995"/>
    <n v="1919.7599999999998"/>
  </r>
  <r>
    <s v="ORD-2047"/>
    <x v="46"/>
    <x v="0"/>
    <x v="0"/>
    <x v="2"/>
    <x v="2"/>
    <n v="32"/>
    <n v="129.99"/>
    <n v="4159.68"/>
  </r>
  <r>
    <s v="ORD-2048"/>
    <x v="47"/>
    <x v="3"/>
    <x v="3"/>
    <x v="3"/>
    <x v="3"/>
    <n v="5"/>
    <n v="49.99"/>
    <n v="249.95000000000002"/>
  </r>
  <r>
    <s v="ORD-2049"/>
    <x v="48"/>
    <x v="1"/>
    <x v="1"/>
    <x v="0"/>
    <x v="0"/>
    <n v="19"/>
    <n v="149.99"/>
    <n v="2849.8100000000004"/>
  </r>
  <r>
    <s v="ORD-2050"/>
    <x v="49"/>
    <x v="4"/>
    <x v="4"/>
    <x v="1"/>
    <x v="1"/>
    <n v="37"/>
    <n v="79.989999999999995"/>
    <n v="2959.6299999999997"/>
  </r>
  <r>
    <s v="ORD-2051"/>
    <x v="50"/>
    <x v="0"/>
    <x v="0"/>
    <x v="2"/>
    <x v="2"/>
    <n v="14"/>
    <n v="129.99"/>
    <n v="1819.8600000000001"/>
  </r>
  <r>
    <s v="ORD-2052"/>
    <x v="51"/>
    <x v="1"/>
    <x v="1"/>
    <x v="3"/>
    <x v="3"/>
    <n v="28"/>
    <n v="49.99"/>
    <n v="1399.72"/>
  </r>
  <r>
    <s v="ORD-2053"/>
    <x v="52"/>
    <x v="2"/>
    <x v="2"/>
    <x v="0"/>
    <x v="0"/>
    <n v="43"/>
    <n v="149.99"/>
    <n v="6449.5700000000006"/>
  </r>
  <r>
    <s v="ORD-2054"/>
    <x v="53"/>
    <x v="3"/>
    <x v="3"/>
    <x v="1"/>
    <x v="1"/>
    <n v="9"/>
    <n v="79.989999999999995"/>
    <n v="719.91"/>
  </r>
  <r>
    <s v="ORD-2055"/>
    <x v="54"/>
    <x v="4"/>
    <x v="4"/>
    <x v="2"/>
    <x v="2"/>
    <n v="22"/>
    <n v="129.99"/>
    <n v="2859.78"/>
  </r>
  <r>
    <s v="ORD-2056"/>
    <x v="55"/>
    <x v="0"/>
    <x v="0"/>
    <x v="3"/>
    <x v="3"/>
    <n v="35"/>
    <n v="49.99"/>
    <n v="1749.65"/>
  </r>
  <r>
    <s v="ORD-2057"/>
    <x v="56"/>
    <x v="1"/>
    <x v="1"/>
    <x v="0"/>
    <x v="0"/>
    <n v="11"/>
    <n v="149.99"/>
    <n v="1649.89"/>
  </r>
  <r>
    <s v="ORD-2058"/>
    <x v="57"/>
    <x v="2"/>
    <x v="2"/>
    <x v="1"/>
    <x v="1"/>
    <n v="26"/>
    <n v="79.989999999999995"/>
    <n v="2079.7399999999998"/>
  </r>
  <r>
    <s v="ORD-2059"/>
    <x v="58"/>
    <x v="3"/>
    <x v="3"/>
    <x v="2"/>
    <x v="2"/>
    <n v="30"/>
    <n v="129.99"/>
    <n v="3899.7000000000003"/>
  </r>
  <r>
    <s v="ORD-2060"/>
    <x v="59"/>
    <x v="4"/>
    <x v="4"/>
    <x v="3"/>
    <x v="3"/>
    <n v="7"/>
    <n v="49.99"/>
    <n v="349.93"/>
  </r>
  <r>
    <s v="ORD-2061"/>
    <x v="60"/>
    <x v="2"/>
    <x v="2"/>
    <x v="0"/>
    <x v="0"/>
    <n v="16"/>
    <n v="149.99"/>
    <n v="2399.84"/>
  </r>
  <r>
    <s v="ORD-2062"/>
    <x v="61"/>
    <x v="0"/>
    <x v="0"/>
    <x v="1"/>
    <x v="1"/>
    <n v="40"/>
    <n v="79.989999999999995"/>
    <n v="3199.6"/>
  </r>
  <r>
    <s v="ORD-2063"/>
    <x v="62"/>
    <x v="3"/>
    <x v="3"/>
    <x v="2"/>
    <x v="2"/>
    <n v="13"/>
    <n v="129.99"/>
    <n v="1689.8700000000001"/>
  </r>
  <r>
    <s v="ORD-2064"/>
    <x v="63"/>
    <x v="1"/>
    <x v="1"/>
    <x v="3"/>
    <x v="3"/>
    <n v="27"/>
    <n v="49.99"/>
    <n v="1349.73"/>
  </r>
  <r>
    <s v="ORD-2065"/>
    <x v="64"/>
    <x v="4"/>
    <x v="4"/>
    <x v="0"/>
    <x v="0"/>
    <n v="33"/>
    <n v="149.99"/>
    <n v="4949.67"/>
  </r>
  <r>
    <s v="ORD-2066"/>
    <x v="65"/>
    <x v="0"/>
    <x v="0"/>
    <x v="1"/>
    <x v="1"/>
    <n v="8"/>
    <n v="79.989999999999995"/>
    <n v="639.91999999999996"/>
  </r>
  <r>
    <s v="ORD-2067"/>
    <x v="66"/>
    <x v="1"/>
    <x v="1"/>
    <x v="2"/>
    <x v="2"/>
    <n v="20"/>
    <n v="129.99"/>
    <n v="2599.8000000000002"/>
  </r>
  <r>
    <s v="ORD-2068"/>
    <x v="67"/>
    <x v="2"/>
    <x v="2"/>
    <x v="3"/>
    <x v="3"/>
    <n v="44"/>
    <n v="49.99"/>
    <n v="2199.56"/>
  </r>
  <r>
    <s v="ORD-2069"/>
    <x v="68"/>
    <x v="3"/>
    <x v="3"/>
    <x v="0"/>
    <x v="0"/>
    <n v="10"/>
    <n v="149.99"/>
    <n v="1499.9"/>
  </r>
  <r>
    <s v="ORD-2070"/>
    <x v="69"/>
    <x v="4"/>
    <x v="4"/>
    <x v="1"/>
    <x v="1"/>
    <n v="25"/>
    <n v="79.989999999999995"/>
    <n v="1999.7499999999998"/>
  </r>
  <r>
    <s v="ORD-2071"/>
    <x v="70"/>
    <x v="2"/>
    <x v="2"/>
    <x v="2"/>
    <x v="2"/>
    <n v="31"/>
    <n v="129.99"/>
    <n v="4029.6900000000005"/>
  </r>
  <r>
    <s v="ORD-2072"/>
    <x v="71"/>
    <x v="0"/>
    <x v="0"/>
    <x v="3"/>
    <x v="3"/>
    <n v="6"/>
    <n v="49.99"/>
    <n v="299.94"/>
  </r>
  <r>
    <s v="ORD-2073"/>
    <x v="72"/>
    <x v="3"/>
    <x v="3"/>
    <x v="0"/>
    <x v="0"/>
    <n v="17"/>
    <n v="149.99"/>
    <n v="2549.83"/>
  </r>
  <r>
    <s v="ORD-2074"/>
    <x v="73"/>
    <x v="1"/>
    <x v="1"/>
    <x v="1"/>
    <x v="1"/>
    <n v="38"/>
    <n v="79.989999999999995"/>
    <n v="3039.62"/>
  </r>
  <r>
    <s v="ORD-2075"/>
    <x v="74"/>
    <x v="4"/>
    <x v="4"/>
    <x v="2"/>
    <x v="2"/>
    <n v="12"/>
    <n v="129.99"/>
    <n v="1559.88"/>
  </r>
  <r>
    <s v="ORD-2076"/>
    <x v="75"/>
    <x v="0"/>
    <x v="0"/>
    <x v="3"/>
    <x v="3"/>
    <n v="23"/>
    <n v="49.99"/>
    <n v="1149.77"/>
  </r>
  <r>
    <s v="ORD-2077"/>
    <x v="76"/>
    <x v="1"/>
    <x v="1"/>
    <x v="0"/>
    <x v="0"/>
    <n v="35"/>
    <n v="149.99"/>
    <n v="5249.6500000000005"/>
  </r>
  <r>
    <s v="ORD-2078"/>
    <x v="77"/>
    <x v="2"/>
    <x v="2"/>
    <x v="1"/>
    <x v="1"/>
    <n v="9"/>
    <n v="79.989999999999995"/>
    <n v="719.91"/>
  </r>
  <r>
    <s v="ORD-2079"/>
    <x v="78"/>
    <x v="3"/>
    <x v="3"/>
    <x v="2"/>
    <x v="2"/>
    <n v="21"/>
    <n v="129.99"/>
    <n v="2729.79"/>
  </r>
  <r>
    <s v="ORD-2080"/>
    <x v="79"/>
    <x v="4"/>
    <x v="4"/>
    <x v="3"/>
    <x v="3"/>
    <n v="42"/>
    <n v="49.99"/>
    <n v="2099.58"/>
  </r>
  <r>
    <s v="ORD-2081"/>
    <x v="80"/>
    <x v="0"/>
    <x v="0"/>
    <x v="0"/>
    <x v="0"/>
    <n v="15"/>
    <n v="149.99"/>
    <n v="2249.8500000000004"/>
  </r>
  <r>
    <s v="ORD-2082"/>
    <x v="81"/>
    <x v="1"/>
    <x v="1"/>
    <x v="1"/>
    <x v="1"/>
    <n v="29"/>
    <n v="79.989999999999995"/>
    <n v="2319.71"/>
  </r>
  <r>
    <s v="ORD-2083"/>
    <x v="82"/>
    <x v="2"/>
    <x v="2"/>
    <x v="2"/>
    <x v="2"/>
    <n v="32"/>
    <n v="129.99"/>
    <n v="4159.68"/>
  </r>
  <r>
    <s v="ORD-2084"/>
    <x v="83"/>
    <x v="3"/>
    <x v="3"/>
    <x v="3"/>
    <x v="3"/>
    <n v="5"/>
    <n v="49.99"/>
    <n v="249.95000000000002"/>
  </r>
  <r>
    <s v="ORD-2085"/>
    <x v="84"/>
    <x v="4"/>
    <x v="4"/>
    <x v="0"/>
    <x v="0"/>
    <n v="18"/>
    <n v="149.99"/>
    <n v="2699.82"/>
  </r>
  <r>
    <s v="ORD-2086"/>
    <x v="85"/>
    <x v="2"/>
    <x v="2"/>
    <x v="1"/>
    <x v="1"/>
    <n v="37"/>
    <n v="79.989999999999995"/>
    <n v="2959.6299999999997"/>
  </r>
  <r>
    <s v="ORD-2087"/>
    <x v="86"/>
    <x v="0"/>
    <x v="0"/>
    <x v="2"/>
    <x v="2"/>
    <n v="11"/>
    <n v="129.99"/>
    <n v="1429.89"/>
  </r>
  <r>
    <s v="ORD-2088"/>
    <x v="87"/>
    <x v="3"/>
    <x v="3"/>
    <x v="3"/>
    <x v="3"/>
    <n v="24"/>
    <n v="49.99"/>
    <n v="1199.76"/>
  </r>
  <r>
    <s v="ORD-2089"/>
    <x v="88"/>
    <x v="1"/>
    <x v="1"/>
    <x v="0"/>
    <x v="0"/>
    <n v="40"/>
    <n v="149.99"/>
    <n v="5999.6"/>
  </r>
  <r>
    <s v="ORD-2090"/>
    <x v="89"/>
    <x v="4"/>
    <x v="4"/>
    <x v="1"/>
    <x v="1"/>
    <n v="8"/>
    <n v="79.989999999999995"/>
    <n v="639.91999999999996"/>
  </r>
  <r>
    <s v="ORD-2091"/>
    <x v="90"/>
    <x v="0"/>
    <x v="0"/>
    <x v="2"/>
    <x v="2"/>
    <n v="20"/>
    <n v="129.99"/>
    <n v="2599.8000000000002"/>
  </r>
  <r>
    <s v="ORD-2092"/>
    <x v="91"/>
    <x v="1"/>
    <x v="1"/>
    <x v="3"/>
    <x v="3"/>
    <n v="34"/>
    <n v="49.99"/>
    <n v="1699.66"/>
  </r>
  <r>
    <s v="ORD-2093"/>
    <x v="92"/>
    <x v="2"/>
    <x v="2"/>
    <x v="0"/>
    <x v="0"/>
    <n v="13"/>
    <n v="149.99"/>
    <n v="1949.8700000000001"/>
  </r>
  <r>
    <s v="ORD-2094"/>
    <x v="93"/>
    <x v="3"/>
    <x v="3"/>
    <x v="1"/>
    <x v="1"/>
    <n v="26"/>
    <n v="79.989999999999995"/>
    <n v="2079.7399999999998"/>
  </r>
  <r>
    <s v="ORD-2095"/>
    <x v="94"/>
    <x v="4"/>
    <x v="4"/>
    <x v="2"/>
    <x v="2"/>
    <n v="45"/>
    <n v="129.99"/>
    <n v="5849.55"/>
  </r>
  <r>
    <s v="ORD-2096"/>
    <x v="95"/>
    <x v="2"/>
    <x v="2"/>
    <x v="3"/>
    <x v="3"/>
    <n v="10"/>
    <n v="49.99"/>
    <n v="499.90000000000003"/>
  </r>
  <r>
    <s v="ORD-2097"/>
    <x v="96"/>
    <x v="0"/>
    <x v="0"/>
    <x v="0"/>
    <x v="0"/>
    <n v="22"/>
    <n v="149.99"/>
    <n v="3299.78"/>
  </r>
  <r>
    <s v="ORD-2098"/>
    <x v="97"/>
    <x v="3"/>
    <x v="3"/>
    <x v="1"/>
    <x v="1"/>
    <n v="30"/>
    <n v="79.989999999999995"/>
    <n v="2399.6999999999998"/>
  </r>
  <r>
    <s v="ORD-2099"/>
    <x v="98"/>
    <x v="1"/>
    <x v="1"/>
    <x v="2"/>
    <x v="2"/>
    <n v="7"/>
    <n v="129.99"/>
    <n v="909.93000000000006"/>
  </r>
  <r>
    <s v="ORD-2100"/>
    <x v="99"/>
    <x v="4"/>
    <x v="4"/>
    <x v="3"/>
    <x v="3"/>
    <n v="19"/>
    <n v="49.99"/>
    <n v="949.81000000000006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652D6-B06A-436B-8581-77C2732581B3}" name="PivotTable10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9:B130" firstHeaderRow="1" firstDataRow="1" firstDataCol="1"/>
  <pivotFields count="9">
    <pivotField compact="0" outline="0" showAll="0"/>
    <pivotField axis="axisRow" compact="0" numFmtId="14" outline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TotalPrice" fld="8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8938A-7AB7-4B74-9DA7-98A4EDDC5BAC}" name="PivotTable8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19:H24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dataField="1" compact="0" numFmtId="165" outline="0" showAll="0"/>
  </pivotFields>
  <rowFields count="1">
    <field x="5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TotalPric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2A27C-B647-4F51-95B0-4E315EEE82C2}" name="PivotTable6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9:E24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3869C-3AD6-4AAD-869A-A097BF5A6E84}" name="PivotTable5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9:B25" firstHeaderRow="1" firstDataRow="1" firstDataCol="1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74EF4-4398-40A3-99C5-A7EE928F01D3}" name="PivotTable2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9">
    <pivotField compact="0" outline="0" showAll="0"/>
    <pivotField compact="0" numFmtId="14" outline="0" showAll="0"/>
    <pivotField axis="axisRow"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8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ech_Sales_Report_2021_2024" displayName="Tech_Sales_Report_2021_2024" ref="A4:J104" dataDxfId="10" headerRowDxfId="11" totalsRowShown="0">
  <autoFilter ref="A4:J104"/>
  <tableColumns count="10">
    <tableColumn id="1" name="OrderID" dataDxfId="9"/>
    <tableColumn id="2" name="Date" dataDxfId="8"/>
    <tableColumn id="3" name="Region" dataDxfId="7"/>
    <tableColumn id="4" name="City" dataDxfId="6"/>
    <tableColumn id="5" name="Category" dataDxfId="5"/>
    <tableColumn id="6" name="Product" dataDxfId="4"/>
    <tableColumn id="7" name="Qty" dataDxfId="3"/>
    <tableColumn id="8" name="UnitPrice" dataDxfId="2"/>
    <tableColumn id="9" name="TotalPrice" dataDxfId="1">
      <calculatedColumnFormula>G5*H5</calculatedColumnFormula>
    </tableColumn>
    <tableColumn id="10" name="Year" dataDxfId="0">
      <calculatedColumnFormula>YEAR(B5)</calculatedColumnFormula>
    </tableColumn>
  </tableColumns>
  <tableStyleInfo name="TableStyleLight1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pivotTable" Target="../pivotTables/pivotTable1.xml"/><Relationship  Id="rId3" Type="http://schemas.openxmlformats.org/officeDocument/2006/relationships/pivotTable" Target="../pivotTables/pivotTable2.xml"/><Relationship  Id="rId4" Type="http://schemas.openxmlformats.org/officeDocument/2006/relationships/pivotTable" Target="../pivotTables/pivotTable3.xml"/><Relationship  Id="rId5" Type="http://schemas.openxmlformats.org/officeDocument/2006/relationships/pivotTable" Target="../pivotTables/pivotTable4.xml"/><Relationship  Id="rId6" Type="http://schemas.openxmlformats.org/officeDocument/2006/relationships/pivotTable" Target="../pivotTables/pivotTable5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workbookViewId="0">
      <selection activeCell="A29" sqref="A29"/>
    </sheetView>
  </sheetViews>
  <sheetFormatPr defaultRowHeight="15"/>
  <cols>
    <col bestFit="1" customWidth="1" min="1" max="1" width="11.7109375"/>
    <col bestFit="1" customWidth="1" min="2" max="2" width="17"/>
    <col bestFit="1" customWidth="1" min="4" max="4" width="14.85546875"/>
    <col bestFit="1" customWidth="1" min="5" max="5" width="17"/>
    <col bestFit="1" customWidth="1" min="7" max="7" width="19.140625"/>
    <col bestFit="1" customWidth="1" min="8" max="8" width="17"/>
    <col bestFit="1" customWidth="1" min="9" max="9" width="11.7109375"/>
  </cols>
  <sheetData>
    <row r="3">
      <c r="A3" s="8" t="s">
        <v>0</v>
      </c>
      <c r="B3" t="s">
        <v>1</v>
      </c>
    </row>
    <row r="4">
      <c r="A4" t="s">
        <v>2</v>
      </c>
      <c r="B4" s="9">
        <v>42635.889999999999</v>
      </c>
    </row>
    <row r="5">
      <c r="A5" t="s">
        <v>3</v>
      </c>
      <c r="B5" s="9">
        <v>40675.970000000001</v>
      </c>
    </row>
    <row r="6">
      <c r="A6" t="s">
        <v>4</v>
      </c>
      <c r="B6" s="9">
        <v>45275.299999999996</v>
      </c>
    </row>
    <row r="7">
      <c r="A7" t="s">
        <v>5</v>
      </c>
      <c r="B7" s="9">
        <v>46915.529999999999</v>
      </c>
    </row>
    <row r="8">
      <c r="A8" t="s">
        <v>6</v>
      </c>
      <c r="B8" s="9">
        <v>50125.020000000004</v>
      </c>
    </row>
    <row r="9">
      <c r="A9" t="s">
        <v>7</v>
      </c>
      <c r="B9" s="9">
        <v>225627.71000000002</v>
      </c>
    </row>
    <row r="19">
      <c r="A19" s="8" t="s">
        <v>8</v>
      </c>
      <c r="B19" t="s">
        <v>1</v>
      </c>
      <c r="D19" s="8" t="s">
        <v>9</v>
      </c>
      <c r="E19" t="s">
        <v>1</v>
      </c>
      <c r="G19" s="8" t="s">
        <v>10</v>
      </c>
      <c r="H19" t="s">
        <v>1</v>
      </c>
    </row>
    <row r="20">
      <c r="A20" t="s">
        <v>11</v>
      </c>
      <c r="B20" s="9">
        <v>40675.970000000001</v>
      </c>
      <c r="D20" t="s">
        <v>12</v>
      </c>
      <c r="E20" s="9">
        <v>28694.260000000002</v>
      </c>
      <c r="G20" t="s">
        <v>13</v>
      </c>
      <c r="H20" s="9">
        <v>28694.260000000002</v>
      </c>
    </row>
    <row r="21">
      <c r="A21" t="s">
        <v>14</v>
      </c>
      <c r="B21" s="9">
        <v>50125.020000000004</v>
      </c>
      <c r="D21" t="s">
        <v>15</v>
      </c>
      <c r="E21" s="9">
        <v>70454.580000000002</v>
      </c>
      <c r="G21" t="s">
        <v>16</v>
      </c>
      <c r="H21" s="9">
        <v>46234.219999999987</v>
      </c>
    </row>
    <row r="22">
      <c r="A22" t="s">
        <v>17</v>
      </c>
      <c r="B22" s="9">
        <v>42635.889999999999</v>
      </c>
      <c r="D22" t="s">
        <v>18</v>
      </c>
      <c r="E22" s="9">
        <v>80244.650000000009</v>
      </c>
      <c r="G22" t="s">
        <v>19</v>
      </c>
      <c r="H22" s="9">
        <v>70454.580000000002</v>
      </c>
    </row>
    <row r="23">
      <c r="A23" t="s">
        <v>20</v>
      </c>
      <c r="B23" s="9">
        <v>45275.299999999996</v>
      </c>
      <c r="D23" t="s">
        <v>21</v>
      </c>
      <c r="E23" s="9">
        <v>46234.219999999987</v>
      </c>
      <c r="G23" t="s">
        <v>22</v>
      </c>
      <c r="H23" s="9">
        <v>80244.650000000009</v>
      </c>
    </row>
    <row r="24">
      <c r="A24" t="s">
        <v>23</v>
      </c>
      <c r="B24" s="9">
        <v>46915.529999999999</v>
      </c>
      <c r="D24" t="s">
        <v>7</v>
      </c>
      <c r="E24" s="9">
        <v>225627.70999999996</v>
      </c>
      <c r="G24" t="s">
        <v>7</v>
      </c>
      <c r="H24" s="9">
        <v>225627.71000000002</v>
      </c>
    </row>
    <row r="25">
      <c r="A25" t="s">
        <v>7</v>
      </c>
      <c r="B25" s="9">
        <v>225627.70999999999</v>
      </c>
    </row>
    <row r="29">
      <c r="A29" s="8" t="s">
        <v>24</v>
      </c>
      <c r="B29" t="s">
        <v>1</v>
      </c>
    </row>
    <row r="30">
      <c r="A30" s="1">
        <v>44201</v>
      </c>
      <c r="B30" s="9">
        <v>2249.8500000000004</v>
      </c>
    </row>
    <row r="31">
      <c r="A31" s="1">
        <v>44208</v>
      </c>
      <c r="B31" s="9">
        <v>639.91999999999996</v>
      </c>
    </row>
    <row r="32">
      <c r="A32" s="1">
        <v>44224</v>
      </c>
      <c r="B32" s="9">
        <v>3119.7600000000002</v>
      </c>
    </row>
    <row r="33">
      <c r="A33" s="1">
        <v>44237</v>
      </c>
      <c r="B33" s="9">
        <v>1499.7</v>
      </c>
    </row>
    <row r="34">
      <c r="A34" s="1">
        <v>44251</v>
      </c>
      <c r="B34" s="9">
        <v>1799.8800000000001</v>
      </c>
    </row>
    <row r="35">
      <c r="A35" s="1">
        <v>44263</v>
      </c>
      <c r="B35" s="9">
        <v>3199.5999999999999</v>
      </c>
    </row>
    <row r="36">
      <c r="A36" s="1">
        <v>44274</v>
      </c>
      <c r="B36" s="9">
        <v>649.95000000000005</v>
      </c>
    </row>
    <row r="37">
      <c r="A37" s="1">
        <v>44288</v>
      </c>
      <c r="B37" s="9">
        <v>899.82000000000005</v>
      </c>
    </row>
    <row r="38">
      <c r="A38" s="1">
        <v>44301</v>
      </c>
      <c r="B38" s="9">
        <v>3299.7800000000002</v>
      </c>
    </row>
    <row r="39">
      <c r="A39" s="1">
        <v>44316</v>
      </c>
      <c r="B39" s="9">
        <v>2799.6499999999996</v>
      </c>
    </row>
    <row r="40">
      <c r="A40" s="1">
        <v>44327</v>
      </c>
      <c r="B40" s="9">
        <v>1299.9000000000001</v>
      </c>
    </row>
    <row r="41">
      <c r="A41" s="1">
        <v>44341</v>
      </c>
      <c r="B41" s="9">
        <v>699.86000000000001</v>
      </c>
    </row>
    <row r="42">
      <c r="A42" s="1">
        <v>44356</v>
      </c>
      <c r="B42" s="9">
        <v>4199.7200000000003</v>
      </c>
    </row>
    <row r="43">
      <c r="A43" s="1">
        <v>44369</v>
      </c>
      <c r="B43" s="9">
        <v>479.93999999999994</v>
      </c>
    </row>
    <row r="44">
      <c r="A44" s="1">
        <v>44381</v>
      </c>
      <c r="B44" s="9">
        <v>2469.8100000000004</v>
      </c>
    </row>
    <row r="45">
      <c r="A45" s="1">
        <v>44395</v>
      </c>
      <c r="B45" s="9">
        <v>2099.5799999999999</v>
      </c>
    </row>
    <row r="46">
      <c r="A46" s="1">
        <v>44411</v>
      </c>
      <c r="B46" s="9">
        <v>1649.8900000000001</v>
      </c>
    </row>
    <row r="47">
      <c r="A47" s="1">
        <v>44425</v>
      </c>
      <c r="B47" s="9">
        <v>1999.7499999999998</v>
      </c>
    </row>
    <row r="48">
      <c r="A48" s="1">
        <v>44440</v>
      </c>
      <c r="B48" s="9">
        <v>4289.6700000000001</v>
      </c>
    </row>
    <row r="49">
      <c r="A49" s="1">
        <v>44453</v>
      </c>
      <c r="B49" s="9">
        <v>349.93000000000001</v>
      </c>
    </row>
    <row r="50">
      <c r="A50" s="1">
        <v>44468</v>
      </c>
      <c r="B50" s="9">
        <v>2399.8400000000001</v>
      </c>
    </row>
    <row r="51">
      <c r="A51" s="1">
        <v>44481</v>
      </c>
      <c r="B51" s="9">
        <v>2319.71</v>
      </c>
    </row>
    <row r="52">
      <c r="A52" s="1">
        <v>44495</v>
      </c>
      <c r="B52" s="9">
        <v>4939.6200000000008</v>
      </c>
    </row>
    <row r="53">
      <c r="A53" s="1">
        <v>44509</v>
      </c>
      <c r="B53" s="9">
        <v>449.91000000000003</v>
      </c>
    </row>
    <row r="54">
      <c r="A54" s="1">
        <v>44523</v>
      </c>
      <c r="B54" s="9">
        <v>2999.8000000000002</v>
      </c>
    </row>
    <row r="55">
      <c r="A55" s="1">
        <v>44538</v>
      </c>
      <c r="B55" s="9">
        <v>3599.5499999999997</v>
      </c>
    </row>
    <row r="56">
      <c r="A56" s="1">
        <v>44552</v>
      </c>
      <c r="B56" s="9">
        <v>1689.8700000000001</v>
      </c>
    </row>
    <row r="57">
      <c r="A57" s="1">
        <v>44568</v>
      </c>
      <c r="B57" s="9">
        <v>1349.73</v>
      </c>
    </row>
    <row r="58">
      <c r="A58" s="1">
        <v>44579</v>
      </c>
      <c r="B58" s="9">
        <v>4649.6900000000005</v>
      </c>
    </row>
    <row r="59">
      <c r="A59" s="1">
        <v>44594</v>
      </c>
      <c r="B59" s="9">
        <v>319.95999999999998</v>
      </c>
    </row>
    <row r="60">
      <c r="A60" s="1">
        <v>44608</v>
      </c>
      <c r="B60" s="9">
        <v>2209.8299999999999</v>
      </c>
    </row>
    <row r="61">
      <c r="A61" s="1">
        <v>44623</v>
      </c>
      <c r="B61" s="9">
        <v>1149.77</v>
      </c>
    </row>
    <row r="62">
      <c r="A62" s="1">
        <v>44637</v>
      </c>
      <c r="B62" s="9">
        <v>5399.6400000000003</v>
      </c>
    </row>
    <row r="63">
      <c r="A63" s="1">
        <v>44652</v>
      </c>
      <c r="B63" s="9">
        <v>639.91999999999996</v>
      </c>
    </row>
    <row r="64">
      <c r="A64" s="1">
        <v>44665</v>
      </c>
      <c r="B64" s="9">
        <v>2729.79</v>
      </c>
    </row>
    <row r="65">
      <c r="A65" s="1">
        <v>44679</v>
      </c>
      <c r="B65" s="9">
        <v>1949.6100000000001</v>
      </c>
    </row>
    <row r="66">
      <c r="A66" s="1">
        <v>44693</v>
      </c>
      <c r="B66" s="9">
        <v>1799.8800000000001</v>
      </c>
    </row>
    <row r="67">
      <c r="A67" s="1">
        <v>44707</v>
      </c>
      <c r="B67" s="9">
        <v>2079.7399999999998</v>
      </c>
    </row>
    <row r="68">
      <c r="A68" s="1">
        <v>44721</v>
      </c>
      <c r="B68" s="9">
        <v>4419.6599999999999</v>
      </c>
    </row>
    <row r="69">
      <c r="A69" s="1">
        <v>44735</v>
      </c>
      <c r="B69" s="9">
        <v>749.85000000000002</v>
      </c>
    </row>
    <row r="70">
      <c r="A70" s="1">
        <v>44749</v>
      </c>
      <c r="B70" s="9">
        <v>4499.7000000000007</v>
      </c>
    </row>
    <row r="71">
      <c r="A71" s="1">
        <v>44763</v>
      </c>
      <c r="B71" s="9">
        <v>479.93999999999994</v>
      </c>
    </row>
    <row r="72">
      <c r="A72" s="1">
        <v>44778</v>
      </c>
      <c r="B72" s="9">
        <v>2339.8200000000002</v>
      </c>
    </row>
    <row r="73">
      <c r="A73" s="1">
        <v>44792</v>
      </c>
      <c r="B73" s="9">
        <v>2049.5900000000001</v>
      </c>
    </row>
    <row r="74">
      <c r="A74" s="1">
        <v>44806</v>
      </c>
      <c r="B74" s="9">
        <v>1499.9000000000001</v>
      </c>
    </row>
    <row r="75">
      <c r="A75" s="1">
        <v>44820</v>
      </c>
      <c r="B75" s="9">
        <v>1919.7599999999998</v>
      </c>
    </row>
    <row r="76">
      <c r="A76" s="1">
        <v>44834</v>
      </c>
      <c r="B76" s="9">
        <v>4159.6800000000003</v>
      </c>
    </row>
    <row r="77">
      <c r="A77" s="1">
        <v>44848</v>
      </c>
      <c r="B77" s="9">
        <v>249.95000000000002</v>
      </c>
    </row>
    <row r="78">
      <c r="A78" s="1">
        <v>44862</v>
      </c>
      <c r="B78" s="9">
        <v>2849.8100000000004</v>
      </c>
    </row>
    <row r="79">
      <c r="A79" s="1">
        <v>44876</v>
      </c>
      <c r="B79" s="9">
        <v>2959.6299999999997</v>
      </c>
    </row>
    <row r="80">
      <c r="A80" s="1">
        <v>44890</v>
      </c>
      <c r="B80" s="9">
        <v>1819.8600000000001</v>
      </c>
    </row>
    <row r="81">
      <c r="A81" s="1">
        <v>44904</v>
      </c>
      <c r="B81" s="9">
        <v>1399.72</v>
      </c>
    </row>
    <row r="82">
      <c r="A82" s="1">
        <v>44918</v>
      </c>
      <c r="B82" s="9">
        <v>6449.5700000000006</v>
      </c>
    </row>
    <row r="83">
      <c r="A83" s="1">
        <v>44936</v>
      </c>
      <c r="B83" s="9">
        <v>719.90999999999997</v>
      </c>
    </row>
    <row r="84">
      <c r="A84" s="1">
        <v>44950</v>
      </c>
      <c r="B84" s="9">
        <v>2859.7800000000002</v>
      </c>
    </row>
    <row r="85">
      <c r="A85" s="1">
        <v>44964</v>
      </c>
      <c r="B85" s="9">
        <v>1749.6500000000001</v>
      </c>
    </row>
    <row r="86">
      <c r="A86" s="1">
        <v>44978</v>
      </c>
      <c r="B86" s="9">
        <v>1649.8900000000001</v>
      </c>
    </row>
    <row r="87">
      <c r="A87" s="1">
        <v>44992</v>
      </c>
      <c r="B87" s="9">
        <v>2079.7399999999998</v>
      </c>
    </row>
    <row r="88">
      <c r="A88" s="1">
        <v>45006</v>
      </c>
      <c r="B88" s="9">
        <v>3899.7000000000003</v>
      </c>
    </row>
    <row r="89">
      <c r="A89" s="1">
        <v>45020</v>
      </c>
      <c r="B89" s="9">
        <v>349.93000000000001</v>
      </c>
    </row>
    <row r="90">
      <c r="A90" s="1">
        <v>45034</v>
      </c>
      <c r="B90" s="9">
        <v>2399.8400000000001</v>
      </c>
    </row>
    <row r="91">
      <c r="A91" s="1">
        <v>45048</v>
      </c>
      <c r="B91" s="9">
        <v>3199.5999999999999</v>
      </c>
    </row>
    <row r="92">
      <c r="A92" s="1">
        <v>45062</v>
      </c>
      <c r="B92" s="9">
        <v>1689.8700000000001</v>
      </c>
    </row>
    <row r="93">
      <c r="A93" s="1">
        <v>45076</v>
      </c>
      <c r="B93" s="9">
        <v>1349.73</v>
      </c>
    </row>
    <row r="94">
      <c r="A94" s="1">
        <v>45090</v>
      </c>
      <c r="B94" s="9">
        <v>4949.6700000000001</v>
      </c>
    </row>
    <row r="95">
      <c r="A95" s="1">
        <v>45104</v>
      </c>
      <c r="B95" s="9">
        <v>639.91999999999996</v>
      </c>
    </row>
    <row r="96">
      <c r="A96" s="1">
        <v>45118</v>
      </c>
      <c r="B96" s="9">
        <v>2599.8000000000002</v>
      </c>
    </row>
    <row r="97">
      <c r="A97" s="1">
        <v>45132</v>
      </c>
      <c r="B97" s="9">
        <v>2199.5599999999999</v>
      </c>
    </row>
    <row r="98">
      <c r="A98" s="1">
        <v>45146</v>
      </c>
      <c r="B98" s="9">
        <v>1499.9000000000001</v>
      </c>
    </row>
    <row r="99">
      <c r="A99" s="1">
        <v>45160</v>
      </c>
      <c r="B99" s="9">
        <v>1999.7499999999998</v>
      </c>
    </row>
    <row r="100">
      <c r="A100" s="1">
        <v>45174</v>
      </c>
      <c r="B100" s="9">
        <v>4029.6900000000005</v>
      </c>
    </row>
    <row r="101">
      <c r="A101" s="1">
        <v>45188</v>
      </c>
      <c r="B101" s="9">
        <v>299.94</v>
      </c>
    </row>
    <row r="102">
      <c r="A102" s="1">
        <v>45202</v>
      </c>
      <c r="B102" s="9">
        <v>2549.8299999999999</v>
      </c>
    </row>
    <row r="103">
      <c r="A103" s="1">
        <v>45216</v>
      </c>
      <c r="B103" s="9">
        <v>3039.6199999999999</v>
      </c>
    </row>
    <row r="104">
      <c r="A104" s="1">
        <v>45230</v>
      </c>
      <c r="B104" s="9">
        <v>1559.8800000000001</v>
      </c>
    </row>
    <row r="105">
      <c r="A105" s="1">
        <v>45244</v>
      </c>
      <c r="B105" s="9">
        <v>1149.77</v>
      </c>
    </row>
    <row r="106">
      <c r="A106" s="1">
        <v>45258</v>
      </c>
      <c r="B106" s="9">
        <v>5249.6500000000005</v>
      </c>
    </row>
    <row r="107">
      <c r="A107" s="1">
        <v>45272</v>
      </c>
      <c r="B107" s="9">
        <v>719.90999999999997</v>
      </c>
    </row>
    <row r="108">
      <c r="A108" s="1">
        <v>45286</v>
      </c>
      <c r="B108" s="9">
        <v>2729.79</v>
      </c>
    </row>
    <row r="109">
      <c r="A109" s="1">
        <v>45300</v>
      </c>
      <c r="B109" s="9">
        <v>2099.5799999999999</v>
      </c>
    </row>
    <row r="110">
      <c r="A110" s="1">
        <v>45314</v>
      </c>
      <c r="B110" s="9">
        <v>2249.8500000000004</v>
      </c>
    </row>
    <row r="111">
      <c r="A111" s="1">
        <v>45328</v>
      </c>
      <c r="B111" s="9">
        <v>2319.71</v>
      </c>
    </row>
    <row r="112">
      <c r="A112" s="1">
        <v>45342</v>
      </c>
      <c r="B112" s="9">
        <v>4159.6800000000003</v>
      </c>
    </row>
    <row r="113">
      <c r="A113" s="1">
        <v>45356</v>
      </c>
      <c r="B113" s="9">
        <v>249.95000000000002</v>
      </c>
    </row>
    <row r="114">
      <c r="A114" s="1">
        <v>45370</v>
      </c>
      <c r="B114" s="9">
        <v>2699.8200000000002</v>
      </c>
    </row>
    <row r="115">
      <c r="A115" s="1">
        <v>45384</v>
      </c>
      <c r="B115" s="9">
        <v>2959.6299999999997</v>
      </c>
    </row>
    <row r="116">
      <c r="A116" s="1">
        <v>45398</v>
      </c>
      <c r="B116" s="9">
        <v>1429.8900000000001</v>
      </c>
    </row>
    <row r="117">
      <c r="A117" s="1">
        <v>45412</v>
      </c>
      <c r="B117" s="9">
        <v>1199.76</v>
      </c>
    </row>
    <row r="118">
      <c r="A118" s="1">
        <v>45426</v>
      </c>
      <c r="B118" s="9">
        <v>5999.6000000000004</v>
      </c>
    </row>
    <row r="119">
      <c r="A119" s="1">
        <v>45440</v>
      </c>
      <c r="B119" s="9">
        <v>639.91999999999996</v>
      </c>
    </row>
    <row r="120">
      <c r="A120" s="1">
        <v>45454</v>
      </c>
      <c r="B120" s="9">
        <v>2599.8000000000002</v>
      </c>
    </row>
    <row r="121">
      <c r="A121" s="1">
        <v>45468</v>
      </c>
      <c r="B121" s="9">
        <v>1699.6600000000001</v>
      </c>
    </row>
    <row r="122">
      <c r="A122" s="1">
        <v>45482</v>
      </c>
      <c r="B122" s="9">
        <v>1949.8700000000001</v>
      </c>
    </row>
    <row r="123">
      <c r="A123" s="1">
        <v>45496</v>
      </c>
      <c r="B123" s="9">
        <v>2079.7399999999998</v>
      </c>
    </row>
    <row r="124">
      <c r="A124" s="1">
        <v>45510</v>
      </c>
      <c r="B124" s="9">
        <v>5849.5500000000002</v>
      </c>
    </row>
    <row r="125">
      <c r="A125" s="1">
        <v>45524</v>
      </c>
      <c r="B125" s="9">
        <v>499.90000000000003</v>
      </c>
    </row>
    <row r="126">
      <c r="A126" s="1">
        <v>45538</v>
      </c>
      <c r="B126" s="9">
        <v>3299.7800000000002</v>
      </c>
    </row>
    <row r="127">
      <c r="A127" s="1">
        <v>45552</v>
      </c>
      <c r="B127" s="9">
        <v>2399.6999999999998</v>
      </c>
    </row>
    <row r="128">
      <c r="A128" s="1">
        <v>45566</v>
      </c>
      <c r="B128" s="9">
        <v>909.93000000000006</v>
      </c>
    </row>
    <row r="129">
      <c r="A129" s="1">
        <v>45580</v>
      </c>
      <c r="B129" s="9">
        <v>949.81000000000006</v>
      </c>
    </row>
    <row r="130">
      <c r="A130" s="1" t="s">
        <v>7</v>
      </c>
      <c r="B130" s="9">
        <v>225627.71000000005</v>
      </c>
    </row>
  </sheetData>
  <pageMargins left="0.69999999999999996" right="0.69999999999999996" top="0.75" bottom="0.75" header="0.29999999999999999" footer="0.299999999999999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J5" sqref="J5"/>
    </sheetView>
  </sheetViews>
  <sheetFormatPr defaultRowHeight="15"/>
  <cols>
    <col customWidth="1" min="1" max="1" width="15.28515625"/>
    <col customWidth="1" min="2" max="2" width="19.140625"/>
    <col customWidth="1" min="3" max="3" width="14.42578125"/>
    <col customWidth="1" min="4" max="4" width="15.28515625"/>
    <col customWidth="1" min="5" max="5" width="20.85546875"/>
    <col customWidth="1" min="6" max="6" width="24.85546875"/>
    <col customWidth="1" min="7" max="7" width="12.140625"/>
    <col customWidth="1" min="8" max="8" width="17.42578125"/>
    <col customWidth="1" min="9" max="9" width="17.5703125"/>
    <col customWidth="1" min="10" max="10" width="15.85546875"/>
  </cols>
  <sheetData>
    <row r="4" s="5" customFormat="1" ht="18.75">
      <c r="A4" s="4" t="s">
        <v>25</v>
      </c>
      <c r="B4" s="4" t="s">
        <v>24</v>
      </c>
      <c r="C4" s="4" t="s">
        <v>0</v>
      </c>
      <c r="D4" s="4" t="s">
        <v>8</v>
      </c>
      <c r="E4" s="4" t="s">
        <v>9</v>
      </c>
      <c r="F4" s="4" t="s">
        <v>10</v>
      </c>
      <c r="G4" s="4" t="s">
        <v>26</v>
      </c>
      <c r="H4" s="4" t="s">
        <v>27</v>
      </c>
      <c r="I4" s="4" t="s">
        <v>28</v>
      </c>
      <c r="J4" s="4" t="s">
        <v>29</v>
      </c>
    </row>
    <row r="5" ht="18.75">
      <c r="A5" s="2" t="s">
        <v>30</v>
      </c>
      <c r="B5" s="3">
        <v>44201</v>
      </c>
      <c r="C5" s="2" t="s">
        <v>4</v>
      </c>
      <c r="D5" s="2" t="s">
        <v>20</v>
      </c>
      <c r="E5" s="2" t="s">
        <v>18</v>
      </c>
      <c r="F5" s="2" t="s">
        <v>22</v>
      </c>
      <c r="G5" s="4">
        <v>15</v>
      </c>
      <c r="H5" s="6">
        <v>149.99000000000001</v>
      </c>
      <c r="I5" s="7">
        <f>G5*H5</f>
        <v>2249.8500000000004</v>
      </c>
      <c r="J5" s="2">
        <f>YEAR(B5)</f>
        <v>2021</v>
      </c>
    </row>
    <row r="6" ht="18.75">
      <c r="A6" s="2" t="s">
        <v>31</v>
      </c>
      <c r="B6" s="3">
        <v>44208</v>
      </c>
      <c r="C6" s="2" t="s">
        <v>3</v>
      </c>
      <c r="D6" s="2" t="s">
        <v>11</v>
      </c>
      <c r="E6" s="2" t="s">
        <v>21</v>
      </c>
      <c r="F6" s="2" t="s">
        <v>16</v>
      </c>
      <c r="G6" s="4">
        <v>8</v>
      </c>
      <c r="H6" s="6">
        <v>79.989999999999995</v>
      </c>
      <c r="I6" s="7">
        <f t="shared" ref="I6:I69" si="0">G6*H6</f>
        <v>639.91999999999996</v>
      </c>
      <c r="J6" s="2">
        <f t="shared" ref="J6:J69" si="1">YEAR(B6)</f>
        <v>2021</v>
      </c>
    </row>
    <row r="7" ht="18.75">
      <c r="A7" s="2" t="s">
        <v>32</v>
      </c>
      <c r="B7" s="3">
        <v>44224</v>
      </c>
      <c r="C7" s="2" t="s">
        <v>6</v>
      </c>
      <c r="D7" s="2" t="s">
        <v>14</v>
      </c>
      <c r="E7" s="2" t="s">
        <v>15</v>
      </c>
      <c r="F7" s="2" t="s">
        <v>19</v>
      </c>
      <c r="G7" s="4">
        <v>24</v>
      </c>
      <c r="H7" s="6">
        <v>129.99000000000001</v>
      </c>
      <c r="I7" s="7">
        <f t="shared" si="0"/>
        <v>3119.7600000000002</v>
      </c>
      <c r="J7" s="2">
        <f t="shared" si="1"/>
        <v>2021</v>
      </c>
    </row>
    <row r="8" ht="18.75">
      <c r="A8" s="2" t="s">
        <v>33</v>
      </c>
      <c r="B8" s="3">
        <v>44237</v>
      </c>
      <c r="C8" s="2" t="s">
        <v>5</v>
      </c>
      <c r="D8" s="2" t="s">
        <v>23</v>
      </c>
      <c r="E8" s="2" t="s">
        <v>12</v>
      </c>
      <c r="F8" s="2" t="s">
        <v>13</v>
      </c>
      <c r="G8" s="4">
        <v>30</v>
      </c>
      <c r="H8" s="6">
        <v>49.990000000000002</v>
      </c>
      <c r="I8" s="7">
        <f t="shared" si="0"/>
        <v>1499.7</v>
      </c>
      <c r="J8" s="2">
        <f t="shared" si="1"/>
        <v>2021</v>
      </c>
    </row>
    <row r="9" ht="18.75">
      <c r="A9" s="2" t="s">
        <v>34</v>
      </c>
      <c r="B9" s="3">
        <v>44251</v>
      </c>
      <c r="C9" s="2" t="s">
        <v>2</v>
      </c>
      <c r="D9" s="2" t="s">
        <v>17</v>
      </c>
      <c r="E9" s="2" t="s">
        <v>18</v>
      </c>
      <c r="F9" s="2" t="s">
        <v>22</v>
      </c>
      <c r="G9" s="4">
        <v>12</v>
      </c>
      <c r="H9" s="6">
        <v>149.99000000000001</v>
      </c>
      <c r="I9" s="7">
        <f t="shared" si="0"/>
        <v>1799.8800000000001</v>
      </c>
      <c r="J9" s="2">
        <f t="shared" si="1"/>
        <v>2021</v>
      </c>
    </row>
    <row r="10" ht="18.75">
      <c r="A10" s="2" t="s">
        <v>35</v>
      </c>
      <c r="B10" s="3">
        <v>44263</v>
      </c>
      <c r="C10" s="2" t="s">
        <v>4</v>
      </c>
      <c r="D10" s="2" t="s">
        <v>20</v>
      </c>
      <c r="E10" s="2" t="s">
        <v>21</v>
      </c>
      <c r="F10" s="2" t="s">
        <v>16</v>
      </c>
      <c r="G10" s="4">
        <v>40</v>
      </c>
      <c r="H10" s="6">
        <v>79.989999999999995</v>
      </c>
      <c r="I10" s="7">
        <f t="shared" si="0"/>
        <v>3199.5999999999999</v>
      </c>
      <c r="J10" s="2">
        <f t="shared" si="1"/>
        <v>2021</v>
      </c>
    </row>
    <row r="11" ht="18.75">
      <c r="A11" s="2" t="s">
        <v>36</v>
      </c>
      <c r="B11" s="3">
        <v>44274</v>
      </c>
      <c r="C11" s="2" t="s">
        <v>3</v>
      </c>
      <c r="D11" s="2" t="s">
        <v>11</v>
      </c>
      <c r="E11" s="2" t="s">
        <v>15</v>
      </c>
      <c r="F11" s="2" t="s">
        <v>19</v>
      </c>
      <c r="G11" s="4">
        <v>5</v>
      </c>
      <c r="H11" s="6">
        <v>129.99000000000001</v>
      </c>
      <c r="I11" s="7">
        <f t="shared" si="0"/>
        <v>649.95000000000005</v>
      </c>
      <c r="J11" s="2">
        <f t="shared" si="1"/>
        <v>2021</v>
      </c>
    </row>
    <row r="12" ht="18.75">
      <c r="A12" s="2" t="s">
        <v>37</v>
      </c>
      <c r="B12" s="3">
        <v>44288</v>
      </c>
      <c r="C12" s="2" t="s">
        <v>6</v>
      </c>
      <c r="D12" s="2" t="s">
        <v>14</v>
      </c>
      <c r="E12" s="2" t="s">
        <v>12</v>
      </c>
      <c r="F12" s="2" t="s">
        <v>13</v>
      </c>
      <c r="G12" s="4">
        <v>18</v>
      </c>
      <c r="H12" s="6">
        <v>49.990000000000002</v>
      </c>
      <c r="I12" s="7">
        <f t="shared" si="0"/>
        <v>899.82000000000005</v>
      </c>
      <c r="J12" s="2">
        <f t="shared" si="1"/>
        <v>2021</v>
      </c>
    </row>
    <row r="13" ht="18.75">
      <c r="A13" s="2" t="s">
        <v>38</v>
      </c>
      <c r="B13" s="3">
        <v>44301</v>
      </c>
      <c r="C13" s="2" t="s">
        <v>5</v>
      </c>
      <c r="D13" s="2" t="s">
        <v>23</v>
      </c>
      <c r="E13" s="2" t="s">
        <v>18</v>
      </c>
      <c r="F13" s="2" t="s">
        <v>22</v>
      </c>
      <c r="G13" s="4">
        <v>22</v>
      </c>
      <c r="H13" s="6">
        <v>149.99000000000001</v>
      </c>
      <c r="I13" s="7">
        <f t="shared" si="0"/>
        <v>3299.7800000000002</v>
      </c>
      <c r="J13" s="2">
        <f t="shared" si="1"/>
        <v>2021</v>
      </c>
    </row>
    <row r="14" ht="18.75">
      <c r="A14" s="2" t="s">
        <v>39</v>
      </c>
      <c r="B14" s="3">
        <v>44316</v>
      </c>
      <c r="C14" s="2" t="s">
        <v>2</v>
      </c>
      <c r="D14" s="2" t="s">
        <v>17</v>
      </c>
      <c r="E14" s="2" t="s">
        <v>21</v>
      </c>
      <c r="F14" s="2" t="s">
        <v>16</v>
      </c>
      <c r="G14" s="4">
        <v>35</v>
      </c>
      <c r="H14" s="6">
        <v>79.989999999999995</v>
      </c>
      <c r="I14" s="7">
        <f t="shared" si="0"/>
        <v>2799.6499999999996</v>
      </c>
      <c r="J14" s="2">
        <f t="shared" si="1"/>
        <v>2021</v>
      </c>
    </row>
    <row r="15" ht="18.75">
      <c r="A15" s="2" t="s">
        <v>40</v>
      </c>
      <c r="B15" s="3">
        <v>44327</v>
      </c>
      <c r="C15" s="2" t="s">
        <v>6</v>
      </c>
      <c r="D15" s="2" t="s">
        <v>14</v>
      </c>
      <c r="E15" s="2" t="s">
        <v>15</v>
      </c>
      <c r="F15" s="2" t="s">
        <v>19</v>
      </c>
      <c r="G15" s="4">
        <v>10</v>
      </c>
      <c r="H15" s="6">
        <v>129.99000000000001</v>
      </c>
      <c r="I15" s="7">
        <f t="shared" si="0"/>
        <v>1299.9000000000001</v>
      </c>
      <c r="J15" s="2">
        <f t="shared" si="1"/>
        <v>2021</v>
      </c>
    </row>
    <row r="16" ht="18.75">
      <c r="A16" s="2" t="s">
        <v>41</v>
      </c>
      <c r="B16" s="3">
        <v>44341</v>
      </c>
      <c r="C16" s="2" t="s">
        <v>4</v>
      </c>
      <c r="D16" s="2" t="s">
        <v>20</v>
      </c>
      <c r="E16" s="2" t="s">
        <v>12</v>
      </c>
      <c r="F16" s="2" t="s">
        <v>13</v>
      </c>
      <c r="G16" s="4">
        <v>14</v>
      </c>
      <c r="H16" s="6">
        <v>49.990000000000002</v>
      </c>
      <c r="I16" s="7">
        <f t="shared" si="0"/>
        <v>699.86000000000001</v>
      </c>
      <c r="J16" s="2">
        <f t="shared" si="1"/>
        <v>2021</v>
      </c>
    </row>
    <row r="17" ht="18.75">
      <c r="A17" s="2" t="s">
        <v>42</v>
      </c>
      <c r="B17" s="3">
        <v>44356</v>
      </c>
      <c r="C17" s="2" t="s">
        <v>5</v>
      </c>
      <c r="D17" s="2" t="s">
        <v>23</v>
      </c>
      <c r="E17" s="2" t="s">
        <v>18</v>
      </c>
      <c r="F17" s="2" t="s">
        <v>22</v>
      </c>
      <c r="G17" s="4">
        <v>28</v>
      </c>
      <c r="H17" s="6">
        <v>149.99000000000001</v>
      </c>
      <c r="I17" s="7">
        <f t="shared" si="0"/>
        <v>4199.7200000000003</v>
      </c>
      <c r="J17" s="2">
        <f t="shared" si="1"/>
        <v>2021</v>
      </c>
    </row>
    <row r="18" ht="18.75">
      <c r="A18" s="2" t="s">
        <v>43</v>
      </c>
      <c r="B18" s="3">
        <v>44369</v>
      </c>
      <c r="C18" s="2" t="s">
        <v>3</v>
      </c>
      <c r="D18" s="2" t="s">
        <v>11</v>
      </c>
      <c r="E18" s="2" t="s">
        <v>21</v>
      </c>
      <c r="F18" s="2" t="s">
        <v>16</v>
      </c>
      <c r="G18" s="4">
        <v>6</v>
      </c>
      <c r="H18" s="6">
        <v>79.989999999999995</v>
      </c>
      <c r="I18" s="7">
        <f t="shared" si="0"/>
        <v>479.93999999999994</v>
      </c>
      <c r="J18" s="2">
        <f t="shared" si="1"/>
        <v>2021</v>
      </c>
    </row>
    <row r="19" ht="18.75">
      <c r="A19" s="2" t="s">
        <v>44</v>
      </c>
      <c r="B19" s="3">
        <v>44381</v>
      </c>
      <c r="C19" s="2" t="s">
        <v>2</v>
      </c>
      <c r="D19" s="2" t="s">
        <v>17</v>
      </c>
      <c r="E19" s="2" t="s">
        <v>15</v>
      </c>
      <c r="F19" s="2" t="s">
        <v>19</v>
      </c>
      <c r="G19" s="4">
        <v>19</v>
      </c>
      <c r="H19" s="6">
        <v>129.99000000000001</v>
      </c>
      <c r="I19" s="7">
        <f t="shared" si="0"/>
        <v>2469.8100000000004</v>
      </c>
      <c r="J19" s="2">
        <f t="shared" si="1"/>
        <v>2021</v>
      </c>
    </row>
    <row r="20" ht="18.75">
      <c r="A20" s="2" t="s">
        <v>45</v>
      </c>
      <c r="B20" s="3">
        <v>44395</v>
      </c>
      <c r="C20" s="2" t="s">
        <v>4</v>
      </c>
      <c r="D20" s="2" t="s">
        <v>20</v>
      </c>
      <c r="E20" s="2" t="s">
        <v>12</v>
      </c>
      <c r="F20" s="2" t="s">
        <v>13</v>
      </c>
      <c r="G20" s="4">
        <v>42</v>
      </c>
      <c r="H20" s="6">
        <v>49.990000000000002</v>
      </c>
      <c r="I20" s="7">
        <f t="shared" si="0"/>
        <v>2099.5799999999999</v>
      </c>
      <c r="J20" s="2">
        <f t="shared" si="1"/>
        <v>2021</v>
      </c>
    </row>
    <row r="21" ht="18.75">
      <c r="A21" s="2" t="s">
        <v>46</v>
      </c>
      <c r="B21" s="3">
        <v>44411</v>
      </c>
      <c r="C21" s="2" t="s">
        <v>3</v>
      </c>
      <c r="D21" s="2" t="s">
        <v>11</v>
      </c>
      <c r="E21" s="2" t="s">
        <v>18</v>
      </c>
      <c r="F21" s="2" t="s">
        <v>22</v>
      </c>
      <c r="G21" s="4">
        <v>11</v>
      </c>
      <c r="H21" s="6">
        <v>149.99000000000001</v>
      </c>
      <c r="I21" s="7">
        <f t="shared" si="0"/>
        <v>1649.8900000000001</v>
      </c>
      <c r="J21" s="2">
        <f t="shared" si="1"/>
        <v>2021</v>
      </c>
    </row>
    <row r="22" ht="18.75">
      <c r="A22" s="2" t="s">
        <v>47</v>
      </c>
      <c r="B22" s="3">
        <v>44425</v>
      </c>
      <c r="C22" s="2" t="s">
        <v>6</v>
      </c>
      <c r="D22" s="2" t="s">
        <v>14</v>
      </c>
      <c r="E22" s="2" t="s">
        <v>21</v>
      </c>
      <c r="F22" s="2" t="s">
        <v>16</v>
      </c>
      <c r="G22" s="4">
        <v>25</v>
      </c>
      <c r="H22" s="6">
        <v>79.989999999999995</v>
      </c>
      <c r="I22" s="7">
        <f t="shared" si="0"/>
        <v>1999.7499999999998</v>
      </c>
      <c r="J22" s="2">
        <f t="shared" si="1"/>
        <v>2021</v>
      </c>
    </row>
    <row r="23" ht="18.75">
      <c r="A23" s="2" t="s">
        <v>48</v>
      </c>
      <c r="B23" s="3">
        <v>44440</v>
      </c>
      <c r="C23" s="2" t="s">
        <v>5</v>
      </c>
      <c r="D23" s="2" t="s">
        <v>23</v>
      </c>
      <c r="E23" s="2" t="s">
        <v>15</v>
      </c>
      <c r="F23" s="2" t="s">
        <v>19</v>
      </c>
      <c r="G23" s="4">
        <v>33</v>
      </c>
      <c r="H23" s="6">
        <v>129.99000000000001</v>
      </c>
      <c r="I23" s="7">
        <f t="shared" si="0"/>
        <v>4289.6700000000001</v>
      </c>
      <c r="J23" s="2">
        <f t="shared" si="1"/>
        <v>2021</v>
      </c>
    </row>
    <row r="24" ht="18.75">
      <c r="A24" s="2" t="s">
        <v>49</v>
      </c>
      <c r="B24" s="3">
        <v>44453</v>
      </c>
      <c r="C24" s="2" t="s">
        <v>2</v>
      </c>
      <c r="D24" s="2" t="s">
        <v>17</v>
      </c>
      <c r="E24" s="2" t="s">
        <v>12</v>
      </c>
      <c r="F24" s="2" t="s">
        <v>13</v>
      </c>
      <c r="G24" s="4">
        <v>7</v>
      </c>
      <c r="H24" s="6">
        <v>49.990000000000002</v>
      </c>
      <c r="I24" s="7">
        <f t="shared" si="0"/>
        <v>349.93000000000001</v>
      </c>
      <c r="J24" s="2">
        <f t="shared" si="1"/>
        <v>2021</v>
      </c>
    </row>
    <row r="25" ht="18.75">
      <c r="A25" s="2" t="s">
        <v>50</v>
      </c>
      <c r="B25" s="3">
        <v>44468</v>
      </c>
      <c r="C25" s="2" t="s">
        <v>6</v>
      </c>
      <c r="D25" s="2" t="s">
        <v>14</v>
      </c>
      <c r="E25" s="2" t="s">
        <v>18</v>
      </c>
      <c r="F25" s="2" t="s">
        <v>22</v>
      </c>
      <c r="G25" s="4">
        <v>16</v>
      </c>
      <c r="H25" s="6">
        <v>149.99000000000001</v>
      </c>
      <c r="I25" s="7">
        <f t="shared" si="0"/>
        <v>2399.8400000000001</v>
      </c>
      <c r="J25" s="2">
        <f t="shared" si="1"/>
        <v>2021</v>
      </c>
    </row>
    <row r="26" ht="18.75">
      <c r="A26" s="2" t="s">
        <v>51</v>
      </c>
      <c r="B26" s="3">
        <v>44481</v>
      </c>
      <c r="C26" s="2" t="s">
        <v>4</v>
      </c>
      <c r="D26" s="2" t="s">
        <v>20</v>
      </c>
      <c r="E26" s="2" t="s">
        <v>21</v>
      </c>
      <c r="F26" s="2" t="s">
        <v>16</v>
      </c>
      <c r="G26" s="4">
        <v>29</v>
      </c>
      <c r="H26" s="6">
        <v>79.989999999999995</v>
      </c>
      <c r="I26" s="7">
        <f t="shared" si="0"/>
        <v>2319.71</v>
      </c>
      <c r="J26" s="2">
        <f t="shared" si="1"/>
        <v>2021</v>
      </c>
    </row>
    <row r="27" ht="18.75">
      <c r="A27" s="2" t="s">
        <v>52</v>
      </c>
      <c r="B27" s="3">
        <v>44495</v>
      </c>
      <c r="C27" s="2" t="s">
        <v>5</v>
      </c>
      <c r="D27" s="2" t="s">
        <v>23</v>
      </c>
      <c r="E27" s="2" t="s">
        <v>15</v>
      </c>
      <c r="F27" s="2" t="s">
        <v>19</v>
      </c>
      <c r="G27" s="4">
        <v>38</v>
      </c>
      <c r="H27" s="6">
        <v>129.99000000000001</v>
      </c>
      <c r="I27" s="7">
        <f t="shared" si="0"/>
        <v>4939.6200000000008</v>
      </c>
      <c r="J27" s="2">
        <f t="shared" si="1"/>
        <v>2021</v>
      </c>
    </row>
    <row r="28" ht="18.75">
      <c r="A28" s="2" t="s">
        <v>53</v>
      </c>
      <c r="B28" s="3">
        <v>44509</v>
      </c>
      <c r="C28" s="2" t="s">
        <v>3</v>
      </c>
      <c r="D28" s="2" t="s">
        <v>11</v>
      </c>
      <c r="E28" s="2" t="s">
        <v>12</v>
      </c>
      <c r="F28" s="2" t="s">
        <v>13</v>
      </c>
      <c r="G28" s="4">
        <v>9</v>
      </c>
      <c r="H28" s="6">
        <v>49.990000000000002</v>
      </c>
      <c r="I28" s="7">
        <f t="shared" si="0"/>
        <v>449.91000000000003</v>
      </c>
      <c r="J28" s="2">
        <f t="shared" si="1"/>
        <v>2021</v>
      </c>
    </row>
    <row r="29" ht="18.75">
      <c r="A29" s="2" t="s">
        <v>54</v>
      </c>
      <c r="B29" s="3">
        <v>44523</v>
      </c>
      <c r="C29" s="2" t="s">
        <v>2</v>
      </c>
      <c r="D29" s="2" t="s">
        <v>17</v>
      </c>
      <c r="E29" s="2" t="s">
        <v>18</v>
      </c>
      <c r="F29" s="2" t="s">
        <v>22</v>
      </c>
      <c r="G29" s="4">
        <v>20</v>
      </c>
      <c r="H29" s="6">
        <v>149.99000000000001</v>
      </c>
      <c r="I29" s="7">
        <f t="shared" si="0"/>
        <v>2999.8000000000002</v>
      </c>
      <c r="J29" s="2">
        <f t="shared" si="1"/>
        <v>2021</v>
      </c>
    </row>
    <row r="30" ht="18.75">
      <c r="A30" s="2" t="s">
        <v>55</v>
      </c>
      <c r="B30" s="3">
        <v>44538</v>
      </c>
      <c r="C30" s="2" t="s">
        <v>4</v>
      </c>
      <c r="D30" s="2" t="s">
        <v>20</v>
      </c>
      <c r="E30" s="2" t="s">
        <v>21</v>
      </c>
      <c r="F30" s="2" t="s">
        <v>16</v>
      </c>
      <c r="G30" s="4">
        <v>45</v>
      </c>
      <c r="H30" s="6">
        <v>79.989999999999995</v>
      </c>
      <c r="I30" s="7">
        <f t="shared" si="0"/>
        <v>3599.5499999999997</v>
      </c>
      <c r="J30" s="2">
        <f t="shared" si="1"/>
        <v>2021</v>
      </c>
    </row>
    <row r="31" ht="18.75">
      <c r="A31" s="2" t="s">
        <v>56</v>
      </c>
      <c r="B31" s="3">
        <v>44552</v>
      </c>
      <c r="C31" s="2" t="s">
        <v>3</v>
      </c>
      <c r="D31" s="2" t="s">
        <v>11</v>
      </c>
      <c r="E31" s="2" t="s">
        <v>15</v>
      </c>
      <c r="F31" s="2" t="s">
        <v>19</v>
      </c>
      <c r="G31" s="4">
        <v>13</v>
      </c>
      <c r="H31" s="6">
        <v>129.99000000000001</v>
      </c>
      <c r="I31" s="7">
        <f t="shared" si="0"/>
        <v>1689.8700000000001</v>
      </c>
      <c r="J31" s="2">
        <f t="shared" si="1"/>
        <v>2021</v>
      </c>
    </row>
    <row r="32" ht="18.75">
      <c r="A32" s="2" t="s">
        <v>57</v>
      </c>
      <c r="B32" s="3">
        <v>44568</v>
      </c>
      <c r="C32" s="2" t="s">
        <v>6</v>
      </c>
      <c r="D32" s="2" t="s">
        <v>14</v>
      </c>
      <c r="E32" s="2" t="s">
        <v>12</v>
      </c>
      <c r="F32" s="2" t="s">
        <v>13</v>
      </c>
      <c r="G32" s="4">
        <v>27</v>
      </c>
      <c r="H32" s="6">
        <v>49.990000000000002</v>
      </c>
      <c r="I32" s="7">
        <f t="shared" si="0"/>
        <v>1349.73</v>
      </c>
      <c r="J32" s="2">
        <f t="shared" si="1"/>
        <v>2022</v>
      </c>
    </row>
    <row r="33" ht="18.75">
      <c r="A33" s="2" t="s">
        <v>58</v>
      </c>
      <c r="B33" s="3">
        <v>44579</v>
      </c>
      <c r="C33" s="2" t="s">
        <v>5</v>
      </c>
      <c r="D33" s="2" t="s">
        <v>23</v>
      </c>
      <c r="E33" s="2" t="s">
        <v>18</v>
      </c>
      <c r="F33" s="2" t="s">
        <v>22</v>
      </c>
      <c r="G33" s="4">
        <v>31</v>
      </c>
      <c r="H33" s="6">
        <v>149.99000000000001</v>
      </c>
      <c r="I33" s="7">
        <f t="shared" si="0"/>
        <v>4649.6900000000005</v>
      </c>
      <c r="J33" s="2">
        <f t="shared" si="1"/>
        <v>2022</v>
      </c>
    </row>
    <row r="34" ht="18.75">
      <c r="A34" s="2" t="s">
        <v>59</v>
      </c>
      <c r="B34" s="3">
        <v>44594</v>
      </c>
      <c r="C34" s="2" t="s">
        <v>2</v>
      </c>
      <c r="D34" s="2" t="s">
        <v>17</v>
      </c>
      <c r="E34" s="2" t="s">
        <v>21</v>
      </c>
      <c r="F34" s="2" t="s">
        <v>16</v>
      </c>
      <c r="G34" s="4">
        <v>4</v>
      </c>
      <c r="H34" s="6">
        <v>79.989999999999995</v>
      </c>
      <c r="I34" s="7">
        <f t="shared" si="0"/>
        <v>319.95999999999998</v>
      </c>
      <c r="J34" s="2">
        <f t="shared" si="1"/>
        <v>2022</v>
      </c>
    </row>
    <row r="35" ht="18.75">
      <c r="A35" s="2" t="s">
        <v>60</v>
      </c>
      <c r="B35" s="3">
        <v>44608</v>
      </c>
      <c r="C35" s="2" t="s">
        <v>4</v>
      </c>
      <c r="D35" s="2" t="s">
        <v>20</v>
      </c>
      <c r="E35" s="2" t="s">
        <v>15</v>
      </c>
      <c r="F35" s="2" t="s">
        <v>19</v>
      </c>
      <c r="G35" s="4">
        <v>17</v>
      </c>
      <c r="H35" s="6">
        <v>129.99000000000001</v>
      </c>
      <c r="I35" s="7">
        <f t="shared" si="0"/>
        <v>2209.8299999999999</v>
      </c>
      <c r="J35" s="2">
        <f t="shared" si="1"/>
        <v>2022</v>
      </c>
    </row>
    <row r="36" ht="18.75">
      <c r="A36" s="2" t="s">
        <v>61</v>
      </c>
      <c r="B36" s="3">
        <v>44623</v>
      </c>
      <c r="C36" s="2" t="s">
        <v>3</v>
      </c>
      <c r="D36" s="2" t="s">
        <v>11</v>
      </c>
      <c r="E36" s="2" t="s">
        <v>12</v>
      </c>
      <c r="F36" s="2" t="s">
        <v>13</v>
      </c>
      <c r="G36" s="4">
        <v>23</v>
      </c>
      <c r="H36" s="6">
        <v>49.990000000000002</v>
      </c>
      <c r="I36" s="7">
        <f t="shared" si="0"/>
        <v>1149.77</v>
      </c>
      <c r="J36" s="2">
        <f t="shared" si="1"/>
        <v>2022</v>
      </c>
    </row>
    <row r="37" ht="18.75">
      <c r="A37" s="2" t="s">
        <v>62</v>
      </c>
      <c r="B37" s="3">
        <v>44637</v>
      </c>
      <c r="C37" s="2" t="s">
        <v>6</v>
      </c>
      <c r="D37" s="2" t="s">
        <v>14</v>
      </c>
      <c r="E37" s="2" t="s">
        <v>18</v>
      </c>
      <c r="F37" s="2" t="s">
        <v>22</v>
      </c>
      <c r="G37" s="4">
        <v>36</v>
      </c>
      <c r="H37" s="6">
        <v>149.99000000000001</v>
      </c>
      <c r="I37" s="7">
        <f t="shared" si="0"/>
        <v>5399.6400000000003</v>
      </c>
      <c r="J37" s="2">
        <f t="shared" si="1"/>
        <v>2022</v>
      </c>
    </row>
    <row r="38" ht="18.75">
      <c r="A38" s="2" t="s">
        <v>63</v>
      </c>
      <c r="B38" s="3">
        <v>44652</v>
      </c>
      <c r="C38" s="2" t="s">
        <v>5</v>
      </c>
      <c r="D38" s="2" t="s">
        <v>23</v>
      </c>
      <c r="E38" s="2" t="s">
        <v>21</v>
      </c>
      <c r="F38" s="2" t="s">
        <v>16</v>
      </c>
      <c r="G38" s="4">
        <v>8</v>
      </c>
      <c r="H38" s="6">
        <v>79.989999999999995</v>
      </c>
      <c r="I38" s="7">
        <f t="shared" si="0"/>
        <v>639.91999999999996</v>
      </c>
      <c r="J38" s="2">
        <f t="shared" si="1"/>
        <v>2022</v>
      </c>
    </row>
    <row r="39" ht="18.75">
      <c r="A39" s="2" t="s">
        <v>64</v>
      </c>
      <c r="B39" s="3">
        <v>44665</v>
      </c>
      <c r="C39" s="2" t="s">
        <v>2</v>
      </c>
      <c r="D39" s="2" t="s">
        <v>17</v>
      </c>
      <c r="E39" s="2" t="s">
        <v>15</v>
      </c>
      <c r="F39" s="2" t="s">
        <v>19</v>
      </c>
      <c r="G39" s="4">
        <v>21</v>
      </c>
      <c r="H39" s="6">
        <v>129.99000000000001</v>
      </c>
      <c r="I39" s="7">
        <f t="shared" si="0"/>
        <v>2729.79</v>
      </c>
      <c r="J39" s="2">
        <f t="shared" si="1"/>
        <v>2022</v>
      </c>
    </row>
    <row r="40" ht="18.75">
      <c r="A40" s="2" t="s">
        <v>65</v>
      </c>
      <c r="B40" s="3">
        <v>44679</v>
      </c>
      <c r="C40" s="2" t="s">
        <v>6</v>
      </c>
      <c r="D40" s="2" t="s">
        <v>14</v>
      </c>
      <c r="E40" s="2" t="s">
        <v>12</v>
      </c>
      <c r="F40" s="2" t="s">
        <v>13</v>
      </c>
      <c r="G40" s="4">
        <v>39</v>
      </c>
      <c r="H40" s="6">
        <v>49.990000000000002</v>
      </c>
      <c r="I40" s="7">
        <f t="shared" si="0"/>
        <v>1949.6100000000001</v>
      </c>
      <c r="J40" s="2">
        <f t="shared" si="1"/>
        <v>2022</v>
      </c>
    </row>
    <row r="41" ht="18.75">
      <c r="A41" s="2" t="s">
        <v>66</v>
      </c>
      <c r="B41" s="3">
        <v>44693</v>
      </c>
      <c r="C41" s="2" t="s">
        <v>4</v>
      </c>
      <c r="D41" s="2" t="s">
        <v>20</v>
      </c>
      <c r="E41" s="2" t="s">
        <v>18</v>
      </c>
      <c r="F41" s="2" t="s">
        <v>22</v>
      </c>
      <c r="G41" s="4">
        <v>12</v>
      </c>
      <c r="H41" s="6">
        <v>149.99000000000001</v>
      </c>
      <c r="I41" s="7">
        <f t="shared" si="0"/>
        <v>1799.8800000000001</v>
      </c>
      <c r="J41" s="2">
        <f t="shared" si="1"/>
        <v>2022</v>
      </c>
    </row>
    <row r="42" ht="18.75">
      <c r="A42" s="2" t="s">
        <v>67</v>
      </c>
      <c r="B42" s="3">
        <v>44707</v>
      </c>
      <c r="C42" s="2" t="s">
        <v>5</v>
      </c>
      <c r="D42" s="2" t="s">
        <v>23</v>
      </c>
      <c r="E42" s="2" t="s">
        <v>21</v>
      </c>
      <c r="F42" s="2" t="s">
        <v>16</v>
      </c>
      <c r="G42" s="4">
        <v>26</v>
      </c>
      <c r="H42" s="6">
        <v>79.989999999999995</v>
      </c>
      <c r="I42" s="7">
        <f t="shared" si="0"/>
        <v>2079.7399999999998</v>
      </c>
      <c r="J42" s="2">
        <f t="shared" si="1"/>
        <v>2022</v>
      </c>
    </row>
    <row r="43" ht="18.75">
      <c r="A43" s="2" t="s">
        <v>68</v>
      </c>
      <c r="B43" s="3">
        <v>44721</v>
      </c>
      <c r="C43" s="2" t="s">
        <v>3</v>
      </c>
      <c r="D43" s="2" t="s">
        <v>11</v>
      </c>
      <c r="E43" s="2" t="s">
        <v>15</v>
      </c>
      <c r="F43" s="2" t="s">
        <v>19</v>
      </c>
      <c r="G43" s="4">
        <v>34</v>
      </c>
      <c r="H43" s="6">
        <v>129.99000000000001</v>
      </c>
      <c r="I43" s="7">
        <f t="shared" si="0"/>
        <v>4419.6599999999999</v>
      </c>
      <c r="J43" s="2">
        <f t="shared" si="1"/>
        <v>2022</v>
      </c>
    </row>
    <row r="44" ht="18.75">
      <c r="A44" s="2" t="s">
        <v>69</v>
      </c>
      <c r="B44" s="3">
        <v>44735</v>
      </c>
      <c r="C44" s="2" t="s">
        <v>2</v>
      </c>
      <c r="D44" s="2" t="s">
        <v>17</v>
      </c>
      <c r="E44" s="2" t="s">
        <v>12</v>
      </c>
      <c r="F44" s="2" t="s">
        <v>13</v>
      </c>
      <c r="G44" s="4">
        <v>15</v>
      </c>
      <c r="H44" s="6">
        <v>49.990000000000002</v>
      </c>
      <c r="I44" s="7">
        <f t="shared" si="0"/>
        <v>749.85000000000002</v>
      </c>
      <c r="J44" s="2">
        <f t="shared" si="1"/>
        <v>2022</v>
      </c>
    </row>
    <row r="45" ht="18.75">
      <c r="A45" s="2" t="s">
        <v>70</v>
      </c>
      <c r="B45" s="3">
        <v>44749</v>
      </c>
      <c r="C45" s="2" t="s">
        <v>4</v>
      </c>
      <c r="D45" s="2" t="s">
        <v>20</v>
      </c>
      <c r="E45" s="2" t="s">
        <v>18</v>
      </c>
      <c r="F45" s="2" t="s">
        <v>22</v>
      </c>
      <c r="G45" s="4">
        <v>30</v>
      </c>
      <c r="H45" s="6">
        <v>149.99000000000001</v>
      </c>
      <c r="I45" s="7">
        <f t="shared" si="0"/>
        <v>4499.7000000000007</v>
      </c>
      <c r="J45" s="2">
        <f t="shared" si="1"/>
        <v>2022</v>
      </c>
    </row>
    <row r="46" ht="18.75">
      <c r="A46" s="2" t="s">
        <v>71</v>
      </c>
      <c r="B46" s="3">
        <v>44763</v>
      </c>
      <c r="C46" s="2" t="s">
        <v>3</v>
      </c>
      <c r="D46" s="2" t="s">
        <v>11</v>
      </c>
      <c r="E46" s="2" t="s">
        <v>21</v>
      </c>
      <c r="F46" s="2" t="s">
        <v>16</v>
      </c>
      <c r="G46" s="4">
        <v>6</v>
      </c>
      <c r="H46" s="6">
        <v>79.989999999999995</v>
      </c>
      <c r="I46" s="7">
        <f t="shared" si="0"/>
        <v>479.93999999999994</v>
      </c>
      <c r="J46" s="2">
        <f t="shared" si="1"/>
        <v>2022</v>
      </c>
    </row>
    <row r="47" ht="18.75">
      <c r="A47" s="2" t="s">
        <v>72</v>
      </c>
      <c r="B47" s="3">
        <v>44778</v>
      </c>
      <c r="C47" s="2" t="s">
        <v>6</v>
      </c>
      <c r="D47" s="2" t="s">
        <v>14</v>
      </c>
      <c r="E47" s="2" t="s">
        <v>15</v>
      </c>
      <c r="F47" s="2" t="s">
        <v>19</v>
      </c>
      <c r="G47" s="4">
        <v>18</v>
      </c>
      <c r="H47" s="6">
        <v>129.99000000000001</v>
      </c>
      <c r="I47" s="7">
        <f t="shared" si="0"/>
        <v>2339.8200000000002</v>
      </c>
      <c r="J47" s="2">
        <f t="shared" si="1"/>
        <v>2022</v>
      </c>
    </row>
    <row r="48" ht="18.75">
      <c r="A48" s="2" t="s">
        <v>73</v>
      </c>
      <c r="B48" s="3">
        <v>44792</v>
      </c>
      <c r="C48" s="2" t="s">
        <v>5</v>
      </c>
      <c r="D48" s="2" t="s">
        <v>23</v>
      </c>
      <c r="E48" s="2" t="s">
        <v>12</v>
      </c>
      <c r="F48" s="2" t="s">
        <v>13</v>
      </c>
      <c r="G48" s="4">
        <v>41</v>
      </c>
      <c r="H48" s="6">
        <v>49.990000000000002</v>
      </c>
      <c r="I48" s="7">
        <f t="shared" si="0"/>
        <v>2049.5900000000001</v>
      </c>
      <c r="J48" s="2">
        <f t="shared" si="1"/>
        <v>2022</v>
      </c>
    </row>
    <row r="49" ht="18.75">
      <c r="A49" s="2" t="s">
        <v>74</v>
      </c>
      <c r="B49" s="3">
        <v>44806</v>
      </c>
      <c r="C49" s="2" t="s">
        <v>2</v>
      </c>
      <c r="D49" s="2" t="s">
        <v>17</v>
      </c>
      <c r="E49" s="2" t="s">
        <v>18</v>
      </c>
      <c r="F49" s="2" t="s">
        <v>22</v>
      </c>
      <c r="G49" s="4">
        <v>10</v>
      </c>
      <c r="H49" s="6">
        <v>149.99000000000001</v>
      </c>
      <c r="I49" s="7">
        <f t="shared" si="0"/>
        <v>1499.9000000000001</v>
      </c>
      <c r="J49" s="2">
        <f t="shared" si="1"/>
        <v>2022</v>
      </c>
    </row>
    <row r="50" ht="18.75">
      <c r="A50" s="2" t="s">
        <v>75</v>
      </c>
      <c r="B50" s="3">
        <v>44820</v>
      </c>
      <c r="C50" s="2" t="s">
        <v>6</v>
      </c>
      <c r="D50" s="2" t="s">
        <v>14</v>
      </c>
      <c r="E50" s="2" t="s">
        <v>21</v>
      </c>
      <c r="F50" s="2" t="s">
        <v>16</v>
      </c>
      <c r="G50" s="4">
        <v>24</v>
      </c>
      <c r="H50" s="6">
        <v>79.989999999999995</v>
      </c>
      <c r="I50" s="7">
        <f t="shared" si="0"/>
        <v>1919.7599999999998</v>
      </c>
      <c r="J50" s="2">
        <f t="shared" si="1"/>
        <v>2022</v>
      </c>
    </row>
    <row r="51" ht="18.75">
      <c r="A51" s="2" t="s">
        <v>76</v>
      </c>
      <c r="B51" s="3">
        <v>44834</v>
      </c>
      <c r="C51" s="2" t="s">
        <v>4</v>
      </c>
      <c r="D51" s="2" t="s">
        <v>20</v>
      </c>
      <c r="E51" s="2" t="s">
        <v>15</v>
      </c>
      <c r="F51" s="2" t="s">
        <v>19</v>
      </c>
      <c r="G51" s="4">
        <v>32</v>
      </c>
      <c r="H51" s="6">
        <v>129.99000000000001</v>
      </c>
      <c r="I51" s="7">
        <f t="shared" si="0"/>
        <v>4159.6800000000003</v>
      </c>
      <c r="J51" s="2">
        <f t="shared" si="1"/>
        <v>2022</v>
      </c>
    </row>
    <row r="52" ht="18.75">
      <c r="A52" s="2" t="s">
        <v>77</v>
      </c>
      <c r="B52" s="3">
        <v>44848</v>
      </c>
      <c r="C52" s="2" t="s">
        <v>5</v>
      </c>
      <c r="D52" s="2" t="s">
        <v>23</v>
      </c>
      <c r="E52" s="2" t="s">
        <v>12</v>
      </c>
      <c r="F52" s="2" t="s">
        <v>13</v>
      </c>
      <c r="G52" s="4">
        <v>5</v>
      </c>
      <c r="H52" s="6">
        <v>49.990000000000002</v>
      </c>
      <c r="I52" s="7">
        <f t="shared" si="0"/>
        <v>249.95000000000002</v>
      </c>
      <c r="J52" s="2">
        <f t="shared" si="1"/>
        <v>2022</v>
      </c>
    </row>
    <row r="53" ht="18.75">
      <c r="A53" s="2" t="s">
        <v>78</v>
      </c>
      <c r="B53" s="3">
        <v>44862</v>
      </c>
      <c r="C53" s="2" t="s">
        <v>3</v>
      </c>
      <c r="D53" s="2" t="s">
        <v>11</v>
      </c>
      <c r="E53" s="2" t="s">
        <v>18</v>
      </c>
      <c r="F53" s="2" t="s">
        <v>22</v>
      </c>
      <c r="G53" s="4">
        <v>19</v>
      </c>
      <c r="H53" s="6">
        <v>149.99000000000001</v>
      </c>
      <c r="I53" s="7">
        <f t="shared" si="0"/>
        <v>2849.8100000000004</v>
      </c>
      <c r="J53" s="2">
        <f t="shared" si="1"/>
        <v>2022</v>
      </c>
    </row>
    <row r="54" ht="18.75">
      <c r="A54" s="2" t="s">
        <v>79</v>
      </c>
      <c r="B54" s="3">
        <v>44876</v>
      </c>
      <c r="C54" s="2" t="s">
        <v>2</v>
      </c>
      <c r="D54" s="2" t="s">
        <v>17</v>
      </c>
      <c r="E54" s="2" t="s">
        <v>21</v>
      </c>
      <c r="F54" s="2" t="s">
        <v>16</v>
      </c>
      <c r="G54" s="4">
        <v>37</v>
      </c>
      <c r="H54" s="6">
        <v>79.989999999999995</v>
      </c>
      <c r="I54" s="7">
        <f t="shared" si="0"/>
        <v>2959.6299999999997</v>
      </c>
      <c r="J54" s="2">
        <f t="shared" si="1"/>
        <v>2022</v>
      </c>
    </row>
    <row r="55" ht="18.75">
      <c r="A55" s="2" t="s">
        <v>80</v>
      </c>
      <c r="B55" s="3">
        <v>44890</v>
      </c>
      <c r="C55" s="2" t="s">
        <v>4</v>
      </c>
      <c r="D55" s="2" t="s">
        <v>20</v>
      </c>
      <c r="E55" s="2" t="s">
        <v>15</v>
      </c>
      <c r="F55" s="2" t="s">
        <v>19</v>
      </c>
      <c r="G55" s="4">
        <v>14</v>
      </c>
      <c r="H55" s="6">
        <v>129.99000000000001</v>
      </c>
      <c r="I55" s="7">
        <f t="shared" si="0"/>
        <v>1819.8600000000001</v>
      </c>
      <c r="J55" s="2">
        <f t="shared" si="1"/>
        <v>2022</v>
      </c>
    </row>
    <row r="56" ht="18.75">
      <c r="A56" s="2" t="s">
        <v>81</v>
      </c>
      <c r="B56" s="3">
        <v>44904</v>
      </c>
      <c r="C56" s="2" t="s">
        <v>3</v>
      </c>
      <c r="D56" s="2" t="s">
        <v>11</v>
      </c>
      <c r="E56" s="2" t="s">
        <v>12</v>
      </c>
      <c r="F56" s="2" t="s">
        <v>13</v>
      </c>
      <c r="G56" s="4">
        <v>28</v>
      </c>
      <c r="H56" s="6">
        <v>49.990000000000002</v>
      </c>
      <c r="I56" s="7">
        <f t="shared" si="0"/>
        <v>1399.72</v>
      </c>
      <c r="J56" s="2">
        <f t="shared" si="1"/>
        <v>2022</v>
      </c>
    </row>
    <row r="57" ht="18.75">
      <c r="A57" s="2" t="s">
        <v>82</v>
      </c>
      <c r="B57" s="3">
        <v>44918</v>
      </c>
      <c r="C57" s="2" t="s">
        <v>6</v>
      </c>
      <c r="D57" s="2" t="s">
        <v>14</v>
      </c>
      <c r="E57" s="2" t="s">
        <v>18</v>
      </c>
      <c r="F57" s="2" t="s">
        <v>22</v>
      </c>
      <c r="G57" s="4">
        <v>43</v>
      </c>
      <c r="H57" s="6">
        <v>149.99000000000001</v>
      </c>
      <c r="I57" s="7">
        <f t="shared" si="0"/>
        <v>6449.5700000000006</v>
      </c>
      <c r="J57" s="2">
        <f t="shared" si="1"/>
        <v>2022</v>
      </c>
    </row>
    <row r="58" ht="18.75">
      <c r="A58" s="2" t="s">
        <v>83</v>
      </c>
      <c r="B58" s="3">
        <v>44936</v>
      </c>
      <c r="C58" s="2" t="s">
        <v>5</v>
      </c>
      <c r="D58" s="2" t="s">
        <v>23</v>
      </c>
      <c r="E58" s="2" t="s">
        <v>21</v>
      </c>
      <c r="F58" s="2" t="s">
        <v>16</v>
      </c>
      <c r="G58" s="4">
        <v>9</v>
      </c>
      <c r="H58" s="6">
        <v>79.989999999999995</v>
      </c>
      <c r="I58" s="7">
        <f t="shared" si="0"/>
        <v>719.90999999999997</v>
      </c>
      <c r="J58" s="2">
        <f t="shared" si="1"/>
        <v>2023</v>
      </c>
    </row>
    <row r="59" ht="18.75">
      <c r="A59" s="2" t="s">
        <v>84</v>
      </c>
      <c r="B59" s="3">
        <v>44950</v>
      </c>
      <c r="C59" s="2" t="s">
        <v>2</v>
      </c>
      <c r="D59" s="2" t="s">
        <v>17</v>
      </c>
      <c r="E59" s="2" t="s">
        <v>15</v>
      </c>
      <c r="F59" s="2" t="s">
        <v>19</v>
      </c>
      <c r="G59" s="4">
        <v>22</v>
      </c>
      <c r="H59" s="6">
        <v>129.99000000000001</v>
      </c>
      <c r="I59" s="7">
        <f t="shared" si="0"/>
        <v>2859.7800000000002</v>
      </c>
      <c r="J59" s="2">
        <f t="shared" si="1"/>
        <v>2023</v>
      </c>
    </row>
    <row r="60" ht="18.75">
      <c r="A60" s="2" t="s">
        <v>85</v>
      </c>
      <c r="B60" s="3">
        <v>44964</v>
      </c>
      <c r="C60" s="2" t="s">
        <v>4</v>
      </c>
      <c r="D60" s="2" t="s">
        <v>20</v>
      </c>
      <c r="E60" s="2" t="s">
        <v>12</v>
      </c>
      <c r="F60" s="2" t="s">
        <v>13</v>
      </c>
      <c r="G60" s="4">
        <v>35</v>
      </c>
      <c r="H60" s="6">
        <v>49.990000000000002</v>
      </c>
      <c r="I60" s="7">
        <f t="shared" si="0"/>
        <v>1749.6500000000001</v>
      </c>
      <c r="J60" s="2">
        <f t="shared" si="1"/>
        <v>2023</v>
      </c>
    </row>
    <row r="61" ht="18.75">
      <c r="A61" s="2" t="s">
        <v>86</v>
      </c>
      <c r="B61" s="3">
        <v>44978</v>
      </c>
      <c r="C61" s="2" t="s">
        <v>3</v>
      </c>
      <c r="D61" s="2" t="s">
        <v>11</v>
      </c>
      <c r="E61" s="2" t="s">
        <v>18</v>
      </c>
      <c r="F61" s="2" t="s">
        <v>22</v>
      </c>
      <c r="G61" s="4">
        <v>11</v>
      </c>
      <c r="H61" s="6">
        <v>149.99000000000001</v>
      </c>
      <c r="I61" s="7">
        <f t="shared" si="0"/>
        <v>1649.8900000000001</v>
      </c>
      <c r="J61" s="2">
        <f t="shared" si="1"/>
        <v>2023</v>
      </c>
    </row>
    <row r="62" ht="18.75">
      <c r="A62" s="2" t="s">
        <v>87</v>
      </c>
      <c r="B62" s="3">
        <v>44992</v>
      </c>
      <c r="C62" s="2" t="s">
        <v>6</v>
      </c>
      <c r="D62" s="2" t="s">
        <v>14</v>
      </c>
      <c r="E62" s="2" t="s">
        <v>21</v>
      </c>
      <c r="F62" s="2" t="s">
        <v>16</v>
      </c>
      <c r="G62" s="4">
        <v>26</v>
      </c>
      <c r="H62" s="6">
        <v>79.989999999999995</v>
      </c>
      <c r="I62" s="7">
        <f t="shared" si="0"/>
        <v>2079.7399999999998</v>
      </c>
      <c r="J62" s="2">
        <f t="shared" si="1"/>
        <v>2023</v>
      </c>
    </row>
    <row r="63" ht="18.75">
      <c r="A63" s="2" t="s">
        <v>88</v>
      </c>
      <c r="B63" s="3">
        <v>45006</v>
      </c>
      <c r="C63" s="2" t="s">
        <v>5</v>
      </c>
      <c r="D63" s="2" t="s">
        <v>23</v>
      </c>
      <c r="E63" s="2" t="s">
        <v>15</v>
      </c>
      <c r="F63" s="2" t="s">
        <v>19</v>
      </c>
      <c r="G63" s="4">
        <v>30</v>
      </c>
      <c r="H63" s="6">
        <v>129.99000000000001</v>
      </c>
      <c r="I63" s="7">
        <f t="shared" si="0"/>
        <v>3899.7000000000003</v>
      </c>
      <c r="J63" s="2">
        <f t="shared" si="1"/>
        <v>2023</v>
      </c>
    </row>
    <row r="64" ht="18.75">
      <c r="A64" s="2" t="s">
        <v>89</v>
      </c>
      <c r="B64" s="3">
        <v>45020</v>
      </c>
      <c r="C64" s="2" t="s">
        <v>2</v>
      </c>
      <c r="D64" s="2" t="s">
        <v>17</v>
      </c>
      <c r="E64" s="2" t="s">
        <v>12</v>
      </c>
      <c r="F64" s="2" t="s">
        <v>13</v>
      </c>
      <c r="G64" s="4">
        <v>7</v>
      </c>
      <c r="H64" s="6">
        <v>49.990000000000002</v>
      </c>
      <c r="I64" s="7">
        <f t="shared" si="0"/>
        <v>349.93000000000001</v>
      </c>
      <c r="J64" s="2">
        <f t="shared" si="1"/>
        <v>2023</v>
      </c>
    </row>
    <row r="65" ht="18.75">
      <c r="A65" s="2" t="s">
        <v>90</v>
      </c>
      <c r="B65" s="3">
        <v>45034</v>
      </c>
      <c r="C65" s="2" t="s">
        <v>6</v>
      </c>
      <c r="D65" s="2" t="s">
        <v>14</v>
      </c>
      <c r="E65" s="2" t="s">
        <v>18</v>
      </c>
      <c r="F65" s="2" t="s">
        <v>22</v>
      </c>
      <c r="G65" s="4">
        <v>16</v>
      </c>
      <c r="H65" s="6">
        <v>149.99000000000001</v>
      </c>
      <c r="I65" s="7">
        <f t="shared" si="0"/>
        <v>2399.8400000000001</v>
      </c>
      <c r="J65" s="2">
        <f t="shared" si="1"/>
        <v>2023</v>
      </c>
    </row>
    <row r="66" ht="18.75">
      <c r="A66" s="2" t="s">
        <v>91</v>
      </c>
      <c r="B66" s="3">
        <v>45048</v>
      </c>
      <c r="C66" s="2" t="s">
        <v>4</v>
      </c>
      <c r="D66" s="2" t="s">
        <v>20</v>
      </c>
      <c r="E66" s="2" t="s">
        <v>21</v>
      </c>
      <c r="F66" s="2" t="s">
        <v>16</v>
      </c>
      <c r="G66" s="4">
        <v>40</v>
      </c>
      <c r="H66" s="6">
        <v>79.989999999999995</v>
      </c>
      <c r="I66" s="7">
        <f t="shared" si="0"/>
        <v>3199.5999999999999</v>
      </c>
      <c r="J66" s="2">
        <f t="shared" si="1"/>
        <v>2023</v>
      </c>
    </row>
    <row r="67" ht="18.75">
      <c r="A67" s="2" t="s">
        <v>92</v>
      </c>
      <c r="B67" s="3">
        <v>45062</v>
      </c>
      <c r="C67" s="2" t="s">
        <v>5</v>
      </c>
      <c r="D67" s="2" t="s">
        <v>23</v>
      </c>
      <c r="E67" s="2" t="s">
        <v>15</v>
      </c>
      <c r="F67" s="2" t="s">
        <v>19</v>
      </c>
      <c r="G67" s="4">
        <v>13</v>
      </c>
      <c r="H67" s="6">
        <v>129.99000000000001</v>
      </c>
      <c r="I67" s="7">
        <f t="shared" si="0"/>
        <v>1689.8700000000001</v>
      </c>
      <c r="J67" s="2">
        <f t="shared" si="1"/>
        <v>2023</v>
      </c>
    </row>
    <row r="68" ht="18.75">
      <c r="A68" s="2" t="s">
        <v>93</v>
      </c>
      <c r="B68" s="3">
        <v>45076</v>
      </c>
      <c r="C68" s="2" t="s">
        <v>3</v>
      </c>
      <c r="D68" s="2" t="s">
        <v>11</v>
      </c>
      <c r="E68" s="2" t="s">
        <v>12</v>
      </c>
      <c r="F68" s="2" t="s">
        <v>13</v>
      </c>
      <c r="G68" s="4">
        <v>27</v>
      </c>
      <c r="H68" s="6">
        <v>49.990000000000002</v>
      </c>
      <c r="I68" s="7">
        <f t="shared" si="0"/>
        <v>1349.73</v>
      </c>
      <c r="J68" s="2">
        <f t="shared" si="1"/>
        <v>2023</v>
      </c>
    </row>
    <row r="69" ht="18.75">
      <c r="A69" s="2" t="s">
        <v>94</v>
      </c>
      <c r="B69" s="3">
        <v>45090</v>
      </c>
      <c r="C69" s="2" t="s">
        <v>2</v>
      </c>
      <c r="D69" s="2" t="s">
        <v>17</v>
      </c>
      <c r="E69" s="2" t="s">
        <v>18</v>
      </c>
      <c r="F69" s="2" t="s">
        <v>22</v>
      </c>
      <c r="G69" s="4">
        <v>33</v>
      </c>
      <c r="H69" s="6">
        <v>149.99000000000001</v>
      </c>
      <c r="I69" s="7">
        <f t="shared" si="0"/>
        <v>4949.6700000000001</v>
      </c>
      <c r="J69" s="2">
        <f t="shared" si="1"/>
        <v>2023</v>
      </c>
    </row>
    <row r="70" ht="18.75">
      <c r="A70" s="2" t="s">
        <v>95</v>
      </c>
      <c r="B70" s="3">
        <v>45104</v>
      </c>
      <c r="C70" s="2" t="s">
        <v>4</v>
      </c>
      <c r="D70" s="2" t="s">
        <v>20</v>
      </c>
      <c r="E70" s="2" t="s">
        <v>21</v>
      </c>
      <c r="F70" s="2" t="s">
        <v>16</v>
      </c>
      <c r="G70" s="4">
        <v>8</v>
      </c>
      <c r="H70" s="6">
        <v>79.989999999999995</v>
      </c>
      <c r="I70" s="7">
        <f t="shared" ref="I70:I104" si="2">G70*H70</f>
        <v>639.91999999999996</v>
      </c>
      <c r="J70" s="2">
        <f t="shared" ref="J70:J104" si="3">YEAR(B70)</f>
        <v>2023</v>
      </c>
    </row>
    <row r="71" ht="18.75">
      <c r="A71" s="2" t="s">
        <v>96</v>
      </c>
      <c r="B71" s="3">
        <v>45118</v>
      </c>
      <c r="C71" s="2" t="s">
        <v>3</v>
      </c>
      <c r="D71" s="2" t="s">
        <v>11</v>
      </c>
      <c r="E71" s="2" t="s">
        <v>15</v>
      </c>
      <c r="F71" s="2" t="s">
        <v>19</v>
      </c>
      <c r="G71" s="4">
        <v>20</v>
      </c>
      <c r="H71" s="6">
        <v>129.99000000000001</v>
      </c>
      <c r="I71" s="7">
        <f t="shared" si="2"/>
        <v>2599.8000000000002</v>
      </c>
      <c r="J71" s="2">
        <f t="shared" si="3"/>
        <v>2023</v>
      </c>
    </row>
    <row r="72" ht="18.75">
      <c r="A72" s="2" t="s">
        <v>97</v>
      </c>
      <c r="B72" s="3">
        <v>45132</v>
      </c>
      <c r="C72" s="2" t="s">
        <v>6</v>
      </c>
      <c r="D72" s="2" t="s">
        <v>14</v>
      </c>
      <c r="E72" s="2" t="s">
        <v>12</v>
      </c>
      <c r="F72" s="2" t="s">
        <v>13</v>
      </c>
      <c r="G72" s="4">
        <v>44</v>
      </c>
      <c r="H72" s="6">
        <v>49.990000000000002</v>
      </c>
      <c r="I72" s="7">
        <f t="shared" si="2"/>
        <v>2199.5599999999999</v>
      </c>
      <c r="J72" s="2">
        <f t="shared" si="3"/>
        <v>2023</v>
      </c>
    </row>
    <row r="73" ht="18.75">
      <c r="A73" s="2" t="s">
        <v>98</v>
      </c>
      <c r="B73" s="3">
        <v>45146</v>
      </c>
      <c r="C73" s="2" t="s">
        <v>5</v>
      </c>
      <c r="D73" s="2" t="s">
        <v>23</v>
      </c>
      <c r="E73" s="2" t="s">
        <v>18</v>
      </c>
      <c r="F73" s="2" t="s">
        <v>22</v>
      </c>
      <c r="G73" s="4">
        <v>10</v>
      </c>
      <c r="H73" s="6">
        <v>149.99000000000001</v>
      </c>
      <c r="I73" s="7">
        <f t="shared" si="2"/>
        <v>1499.9000000000001</v>
      </c>
      <c r="J73" s="2">
        <f t="shared" si="3"/>
        <v>2023</v>
      </c>
    </row>
    <row r="74" ht="18.75">
      <c r="A74" s="2" t="s">
        <v>99</v>
      </c>
      <c r="B74" s="3">
        <v>45160</v>
      </c>
      <c r="C74" s="2" t="s">
        <v>2</v>
      </c>
      <c r="D74" s="2" t="s">
        <v>17</v>
      </c>
      <c r="E74" s="2" t="s">
        <v>21</v>
      </c>
      <c r="F74" s="2" t="s">
        <v>16</v>
      </c>
      <c r="G74" s="4">
        <v>25</v>
      </c>
      <c r="H74" s="6">
        <v>79.989999999999995</v>
      </c>
      <c r="I74" s="7">
        <f t="shared" si="2"/>
        <v>1999.7499999999998</v>
      </c>
      <c r="J74" s="2">
        <f t="shared" si="3"/>
        <v>2023</v>
      </c>
    </row>
    <row r="75" ht="18.75">
      <c r="A75" s="2" t="s">
        <v>100</v>
      </c>
      <c r="B75" s="3">
        <v>45174</v>
      </c>
      <c r="C75" s="2" t="s">
        <v>6</v>
      </c>
      <c r="D75" s="2" t="s">
        <v>14</v>
      </c>
      <c r="E75" s="2" t="s">
        <v>15</v>
      </c>
      <c r="F75" s="2" t="s">
        <v>19</v>
      </c>
      <c r="G75" s="4">
        <v>31</v>
      </c>
      <c r="H75" s="6">
        <v>129.99000000000001</v>
      </c>
      <c r="I75" s="7">
        <f t="shared" si="2"/>
        <v>4029.6900000000005</v>
      </c>
      <c r="J75" s="2">
        <f t="shared" si="3"/>
        <v>2023</v>
      </c>
    </row>
    <row r="76" ht="18.75">
      <c r="A76" s="2" t="s">
        <v>101</v>
      </c>
      <c r="B76" s="3">
        <v>45188</v>
      </c>
      <c r="C76" s="2" t="s">
        <v>4</v>
      </c>
      <c r="D76" s="2" t="s">
        <v>20</v>
      </c>
      <c r="E76" s="2" t="s">
        <v>12</v>
      </c>
      <c r="F76" s="2" t="s">
        <v>13</v>
      </c>
      <c r="G76" s="4">
        <v>6</v>
      </c>
      <c r="H76" s="6">
        <v>49.990000000000002</v>
      </c>
      <c r="I76" s="7">
        <f t="shared" si="2"/>
        <v>299.94</v>
      </c>
      <c r="J76" s="2">
        <f t="shared" si="3"/>
        <v>2023</v>
      </c>
    </row>
    <row r="77" ht="18.75">
      <c r="A77" s="2" t="s">
        <v>102</v>
      </c>
      <c r="B77" s="3">
        <v>45202</v>
      </c>
      <c r="C77" s="2" t="s">
        <v>5</v>
      </c>
      <c r="D77" s="2" t="s">
        <v>23</v>
      </c>
      <c r="E77" s="2" t="s">
        <v>18</v>
      </c>
      <c r="F77" s="2" t="s">
        <v>22</v>
      </c>
      <c r="G77" s="4">
        <v>17</v>
      </c>
      <c r="H77" s="6">
        <v>149.99000000000001</v>
      </c>
      <c r="I77" s="7">
        <f t="shared" si="2"/>
        <v>2549.8299999999999</v>
      </c>
      <c r="J77" s="2">
        <f t="shared" si="3"/>
        <v>2023</v>
      </c>
    </row>
    <row r="78" ht="18.75">
      <c r="A78" s="2" t="s">
        <v>103</v>
      </c>
      <c r="B78" s="3">
        <v>45216</v>
      </c>
      <c r="C78" s="2" t="s">
        <v>3</v>
      </c>
      <c r="D78" s="2" t="s">
        <v>11</v>
      </c>
      <c r="E78" s="2" t="s">
        <v>21</v>
      </c>
      <c r="F78" s="2" t="s">
        <v>16</v>
      </c>
      <c r="G78" s="4">
        <v>38</v>
      </c>
      <c r="H78" s="6">
        <v>79.989999999999995</v>
      </c>
      <c r="I78" s="7">
        <f t="shared" si="2"/>
        <v>3039.6199999999999</v>
      </c>
      <c r="J78" s="2">
        <f t="shared" si="3"/>
        <v>2023</v>
      </c>
    </row>
    <row r="79" ht="18.75">
      <c r="A79" s="2" t="s">
        <v>104</v>
      </c>
      <c r="B79" s="3">
        <v>45230</v>
      </c>
      <c r="C79" s="2" t="s">
        <v>2</v>
      </c>
      <c r="D79" s="2" t="s">
        <v>17</v>
      </c>
      <c r="E79" s="2" t="s">
        <v>15</v>
      </c>
      <c r="F79" s="2" t="s">
        <v>19</v>
      </c>
      <c r="G79" s="4">
        <v>12</v>
      </c>
      <c r="H79" s="6">
        <v>129.99000000000001</v>
      </c>
      <c r="I79" s="7">
        <f t="shared" si="2"/>
        <v>1559.8800000000001</v>
      </c>
      <c r="J79" s="2">
        <f t="shared" si="3"/>
        <v>2023</v>
      </c>
    </row>
    <row r="80" ht="18.75">
      <c r="A80" s="2" t="s">
        <v>105</v>
      </c>
      <c r="B80" s="3">
        <v>45244</v>
      </c>
      <c r="C80" s="2" t="s">
        <v>4</v>
      </c>
      <c r="D80" s="2" t="s">
        <v>20</v>
      </c>
      <c r="E80" s="2" t="s">
        <v>12</v>
      </c>
      <c r="F80" s="2" t="s">
        <v>13</v>
      </c>
      <c r="G80" s="4">
        <v>23</v>
      </c>
      <c r="H80" s="6">
        <v>49.990000000000002</v>
      </c>
      <c r="I80" s="7">
        <f t="shared" si="2"/>
        <v>1149.77</v>
      </c>
      <c r="J80" s="2">
        <f t="shared" si="3"/>
        <v>2023</v>
      </c>
    </row>
    <row r="81" ht="18.75">
      <c r="A81" s="2" t="s">
        <v>106</v>
      </c>
      <c r="B81" s="3">
        <v>45258</v>
      </c>
      <c r="C81" s="2" t="s">
        <v>3</v>
      </c>
      <c r="D81" s="2" t="s">
        <v>11</v>
      </c>
      <c r="E81" s="2" t="s">
        <v>18</v>
      </c>
      <c r="F81" s="2" t="s">
        <v>22</v>
      </c>
      <c r="G81" s="4">
        <v>35</v>
      </c>
      <c r="H81" s="6">
        <v>149.99000000000001</v>
      </c>
      <c r="I81" s="7">
        <f t="shared" si="2"/>
        <v>5249.6500000000005</v>
      </c>
      <c r="J81" s="2">
        <f t="shared" si="3"/>
        <v>2023</v>
      </c>
    </row>
    <row r="82" ht="18.75">
      <c r="A82" s="2" t="s">
        <v>107</v>
      </c>
      <c r="B82" s="3">
        <v>45272</v>
      </c>
      <c r="C82" s="2" t="s">
        <v>6</v>
      </c>
      <c r="D82" s="2" t="s">
        <v>14</v>
      </c>
      <c r="E82" s="2" t="s">
        <v>21</v>
      </c>
      <c r="F82" s="2" t="s">
        <v>16</v>
      </c>
      <c r="G82" s="4">
        <v>9</v>
      </c>
      <c r="H82" s="6">
        <v>79.989999999999995</v>
      </c>
      <c r="I82" s="7">
        <f t="shared" si="2"/>
        <v>719.90999999999997</v>
      </c>
      <c r="J82" s="2">
        <f t="shared" si="3"/>
        <v>2023</v>
      </c>
    </row>
    <row r="83" ht="18.75">
      <c r="A83" s="2" t="s">
        <v>108</v>
      </c>
      <c r="B83" s="3">
        <v>45286</v>
      </c>
      <c r="C83" s="2" t="s">
        <v>5</v>
      </c>
      <c r="D83" s="2" t="s">
        <v>23</v>
      </c>
      <c r="E83" s="2" t="s">
        <v>15</v>
      </c>
      <c r="F83" s="2" t="s">
        <v>19</v>
      </c>
      <c r="G83" s="4">
        <v>21</v>
      </c>
      <c r="H83" s="6">
        <v>129.99000000000001</v>
      </c>
      <c r="I83" s="7">
        <f t="shared" si="2"/>
        <v>2729.79</v>
      </c>
      <c r="J83" s="2">
        <f t="shared" si="3"/>
        <v>2023</v>
      </c>
    </row>
    <row r="84" ht="18.75">
      <c r="A84" s="2" t="s">
        <v>109</v>
      </c>
      <c r="B84" s="3">
        <v>45300</v>
      </c>
      <c r="C84" s="2" t="s">
        <v>2</v>
      </c>
      <c r="D84" s="2" t="s">
        <v>17</v>
      </c>
      <c r="E84" s="2" t="s">
        <v>12</v>
      </c>
      <c r="F84" s="2" t="s">
        <v>13</v>
      </c>
      <c r="G84" s="4">
        <v>42</v>
      </c>
      <c r="H84" s="6">
        <v>49.990000000000002</v>
      </c>
      <c r="I84" s="7">
        <f t="shared" si="2"/>
        <v>2099.5799999999999</v>
      </c>
      <c r="J84" s="2">
        <f t="shared" si="3"/>
        <v>2024</v>
      </c>
    </row>
    <row r="85" ht="18.75">
      <c r="A85" s="2" t="s">
        <v>110</v>
      </c>
      <c r="B85" s="3">
        <v>45314</v>
      </c>
      <c r="C85" s="2" t="s">
        <v>4</v>
      </c>
      <c r="D85" s="2" t="s">
        <v>20</v>
      </c>
      <c r="E85" s="2" t="s">
        <v>18</v>
      </c>
      <c r="F85" s="2" t="s">
        <v>22</v>
      </c>
      <c r="G85" s="4">
        <v>15</v>
      </c>
      <c r="H85" s="6">
        <v>149.99000000000001</v>
      </c>
      <c r="I85" s="7">
        <f t="shared" si="2"/>
        <v>2249.8500000000004</v>
      </c>
      <c r="J85" s="2">
        <f t="shared" si="3"/>
        <v>2024</v>
      </c>
    </row>
    <row r="86" ht="18.75">
      <c r="A86" s="2" t="s">
        <v>111</v>
      </c>
      <c r="B86" s="3">
        <v>45328</v>
      </c>
      <c r="C86" s="2" t="s">
        <v>3</v>
      </c>
      <c r="D86" s="2" t="s">
        <v>11</v>
      </c>
      <c r="E86" s="2" t="s">
        <v>21</v>
      </c>
      <c r="F86" s="2" t="s">
        <v>16</v>
      </c>
      <c r="G86" s="4">
        <v>29</v>
      </c>
      <c r="H86" s="6">
        <v>79.989999999999995</v>
      </c>
      <c r="I86" s="7">
        <f t="shared" si="2"/>
        <v>2319.71</v>
      </c>
      <c r="J86" s="2">
        <f t="shared" si="3"/>
        <v>2024</v>
      </c>
    </row>
    <row r="87" ht="18.75">
      <c r="A87" s="2" t="s">
        <v>112</v>
      </c>
      <c r="B87" s="3">
        <v>45342</v>
      </c>
      <c r="C87" s="2" t="s">
        <v>6</v>
      </c>
      <c r="D87" s="2" t="s">
        <v>14</v>
      </c>
      <c r="E87" s="2" t="s">
        <v>15</v>
      </c>
      <c r="F87" s="2" t="s">
        <v>19</v>
      </c>
      <c r="G87" s="4">
        <v>32</v>
      </c>
      <c r="H87" s="6">
        <v>129.99000000000001</v>
      </c>
      <c r="I87" s="7">
        <f t="shared" si="2"/>
        <v>4159.6800000000003</v>
      </c>
      <c r="J87" s="2">
        <f t="shared" si="3"/>
        <v>2024</v>
      </c>
    </row>
    <row r="88" ht="18.75">
      <c r="A88" s="2" t="s">
        <v>113</v>
      </c>
      <c r="B88" s="3">
        <v>45356</v>
      </c>
      <c r="C88" s="2" t="s">
        <v>5</v>
      </c>
      <c r="D88" s="2" t="s">
        <v>23</v>
      </c>
      <c r="E88" s="2" t="s">
        <v>12</v>
      </c>
      <c r="F88" s="2" t="s">
        <v>13</v>
      </c>
      <c r="G88" s="4">
        <v>5</v>
      </c>
      <c r="H88" s="6">
        <v>49.990000000000002</v>
      </c>
      <c r="I88" s="7">
        <f t="shared" si="2"/>
        <v>249.95000000000002</v>
      </c>
      <c r="J88" s="2">
        <f t="shared" si="3"/>
        <v>2024</v>
      </c>
    </row>
    <row r="89" ht="18.75">
      <c r="A89" s="2" t="s">
        <v>114</v>
      </c>
      <c r="B89" s="3">
        <v>45370</v>
      </c>
      <c r="C89" s="2" t="s">
        <v>2</v>
      </c>
      <c r="D89" s="2" t="s">
        <v>17</v>
      </c>
      <c r="E89" s="2" t="s">
        <v>18</v>
      </c>
      <c r="F89" s="2" t="s">
        <v>22</v>
      </c>
      <c r="G89" s="4">
        <v>18</v>
      </c>
      <c r="H89" s="6">
        <v>149.99000000000001</v>
      </c>
      <c r="I89" s="7">
        <f t="shared" si="2"/>
        <v>2699.8200000000002</v>
      </c>
      <c r="J89" s="2">
        <f t="shared" si="3"/>
        <v>2024</v>
      </c>
    </row>
    <row r="90" ht="18.75">
      <c r="A90" s="2" t="s">
        <v>115</v>
      </c>
      <c r="B90" s="3">
        <v>45384</v>
      </c>
      <c r="C90" s="2" t="s">
        <v>6</v>
      </c>
      <c r="D90" s="2" t="s">
        <v>14</v>
      </c>
      <c r="E90" s="2" t="s">
        <v>21</v>
      </c>
      <c r="F90" s="2" t="s">
        <v>16</v>
      </c>
      <c r="G90" s="4">
        <v>37</v>
      </c>
      <c r="H90" s="6">
        <v>79.989999999999995</v>
      </c>
      <c r="I90" s="7">
        <f t="shared" si="2"/>
        <v>2959.6299999999997</v>
      </c>
      <c r="J90" s="2">
        <f t="shared" si="3"/>
        <v>2024</v>
      </c>
    </row>
    <row r="91" ht="18.75">
      <c r="A91" s="2" t="s">
        <v>116</v>
      </c>
      <c r="B91" s="3">
        <v>45398</v>
      </c>
      <c r="C91" s="2" t="s">
        <v>4</v>
      </c>
      <c r="D91" s="2" t="s">
        <v>20</v>
      </c>
      <c r="E91" s="2" t="s">
        <v>15</v>
      </c>
      <c r="F91" s="2" t="s">
        <v>19</v>
      </c>
      <c r="G91" s="4">
        <v>11</v>
      </c>
      <c r="H91" s="6">
        <v>129.99000000000001</v>
      </c>
      <c r="I91" s="7">
        <f t="shared" si="2"/>
        <v>1429.8900000000001</v>
      </c>
      <c r="J91" s="2">
        <f t="shared" si="3"/>
        <v>2024</v>
      </c>
    </row>
    <row r="92" ht="18.75">
      <c r="A92" s="2" t="s">
        <v>117</v>
      </c>
      <c r="B92" s="3">
        <v>45412</v>
      </c>
      <c r="C92" s="2" t="s">
        <v>5</v>
      </c>
      <c r="D92" s="2" t="s">
        <v>23</v>
      </c>
      <c r="E92" s="2" t="s">
        <v>12</v>
      </c>
      <c r="F92" s="2" t="s">
        <v>13</v>
      </c>
      <c r="G92" s="4">
        <v>24</v>
      </c>
      <c r="H92" s="6">
        <v>49.990000000000002</v>
      </c>
      <c r="I92" s="7">
        <f t="shared" si="2"/>
        <v>1199.76</v>
      </c>
      <c r="J92" s="2">
        <f t="shared" si="3"/>
        <v>2024</v>
      </c>
    </row>
    <row r="93" ht="18.75">
      <c r="A93" s="2" t="s">
        <v>118</v>
      </c>
      <c r="B93" s="3">
        <v>45426</v>
      </c>
      <c r="C93" s="2" t="s">
        <v>3</v>
      </c>
      <c r="D93" s="2" t="s">
        <v>11</v>
      </c>
      <c r="E93" s="2" t="s">
        <v>18</v>
      </c>
      <c r="F93" s="2" t="s">
        <v>22</v>
      </c>
      <c r="G93" s="4">
        <v>40</v>
      </c>
      <c r="H93" s="6">
        <v>149.99000000000001</v>
      </c>
      <c r="I93" s="7">
        <f t="shared" si="2"/>
        <v>5999.6000000000004</v>
      </c>
      <c r="J93" s="2">
        <f t="shared" si="3"/>
        <v>2024</v>
      </c>
    </row>
    <row r="94" ht="18.75">
      <c r="A94" s="2" t="s">
        <v>119</v>
      </c>
      <c r="B94" s="3">
        <v>45440</v>
      </c>
      <c r="C94" s="2" t="s">
        <v>2</v>
      </c>
      <c r="D94" s="2" t="s">
        <v>17</v>
      </c>
      <c r="E94" s="2" t="s">
        <v>21</v>
      </c>
      <c r="F94" s="2" t="s">
        <v>16</v>
      </c>
      <c r="G94" s="4">
        <v>8</v>
      </c>
      <c r="H94" s="6">
        <v>79.989999999999995</v>
      </c>
      <c r="I94" s="7">
        <f t="shared" si="2"/>
        <v>639.91999999999996</v>
      </c>
      <c r="J94" s="2">
        <f t="shared" si="3"/>
        <v>2024</v>
      </c>
    </row>
    <row r="95" ht="18.75">
      <c r="A95" s="2" t="s">
        <v>120</v>
      </c>
      <c r="B95" s="3">
        <v>45454</v>
      </c>
      <c r="C95" s="2" t="s">
        <v>4</v>
      </c>
      <c r="D95" s="2" t="s">
        <v>20</v>
      </c>
      <c r="E95" s="2" t="s">
        <v>15</v>
      </c>
      <c r="F95" s="2" t="s">
        <v>19</v>
      </c>
      <c r="G95" s="4">
        <v>20</v>
      </c>
      <c r="H95" s="6">
        <v>129.99000000000001</v>
      </c>
      <c r="I95" s="7">
        <f t="shared" si="2"/>
        <v>2599.8000000000002</v>
      </c>
      <c r="J95" s="2">
        <f t="shared" si="3"/>
        <v>2024</v>
      </c>
    </row>
    <row r="96" ht="18.75">
      <c r="A96" s="2" t="s">
        <v>121</v>
      </c>
      <c r="B96" s="3">
        <v>45468</v>
      </c>
      <c r="C96" s="2" t="s">
        <v>3</v>
      </c>
      <c r="D96" s="2" t="s">
        <v>11</v>
      </c>
      <c r="E96" s="2" t="s">
        <v>12</v>
      </c>
      <c r="F96" s="2" t="s">
        <v>13</v>
      </c>
      <c r="G96" s="4">
        <v>34</v>
      </c>
      <c r="H96" s="6">
        <v>49.990000000000002</v>
      </c>
      <c r="I96" s="7">
        <f t="shared" si="2"/>
        <v>1699.6600000000001</v>
      </c>
      <c r="J96" s="2">
        <f t="shared" si="3"/>
        <v>2024</v>
      </c>
    </row>
    <row r="97" ht="18.75">
      <c r="A97" s="2" t="s">
        <v>122</v>
      </c>
      <c r="B97" s="3">
        <v>45482</v>
      </c>
      <c r="C97" s="2" t="s">
        <v>6</v>
      </c>
      <c r="D97" s="2" t="s">
        <v>14</v>
      </c>
      <c r="E97" s="2" t="s">
        <v>18</v>
      </c>
      <c r="F97" s="2" t="s">
        <v>22</v>
      </c>
      <c r="G97" s="4">
        <v>13</v>
      </c>
      <c r="H97" s="6">
        <v>149.99000000000001</v>
      </c>
      <c r="I97" s="7">
        <f t="shared" si="2"/>
        <v>1949.8700000000001</v>
      </c>
      <c r="J97" s="2">
        <f t="shared" si="3"/>
        <v>2024</v>
      </c>
    </row>
    <row r="98" ht="18.75">
      <c r="A98" s="2" t="s">
        <v>123</v>
      </c>
      <c r="B98" s="3">
        <v>45496</v>
      </c>
      <c r="C98" s="2" t="s">
        <v>5</v>
      </c>
      <c r="D98" s="2" t="s">
        <v>23</v>
      </c>
      <c r="E98" s="2" t="s">
        <v>21</v>
      </c>
      <c r="F98" s="2" t="s">
        <v>16</v>
      </c>
      <c r="G98" s="4">
        <v>26</v>
      </c>
      <c r="H98" s="6">
        <v>79.989999999999995</v>
      </c>
      <c r="I98" s="7">
        <f t="shared" si="2"/>
        <v>2079.7399999999998</v>
      </c>
      <c r="J98" s="2">
        <f t="shared" si="3"/>
        <v>2024</v>
      </c>
    </row>
    <row r="99" ht="18.75">
      <c r="A99" s="2" t="s">
        <v>124</v>
      </c>
      <c r="B99" s="3">
        <v>45510</v>
      </c>
      <c r="C99" s="2" t="s">
        <v>2</v>
      </c>
      <c r="D99" s="2" t="s">
        <v>17</v>
      </c>
      <c r="E99" s="2" t="s">
        <v>15</v>
      </c>
      <c r="F99" s="2" t="s">
        <v>19</v>
      </c>
      <c r="G99" s="4">
        <v>45</v>
      </c>
      <c r="H99" s="6">
        <v>129.99000000000001</v>
      </c>
      <c r="I99" s="7">
        <f t="shared" si="2"/>
        <v>5849.5500000000002</v>
      </c>
      <c r="J99" s="2">
        <f t="shared" si="3"/>
        <v>2024</v>
      </c>
    </row>
    <row r="100" ht="18.75">
      <c r="A100" s="2" t="s">
        <v>125</v>
      </c>
      <c r="B100" s="3">
        <v>45524</v>
      </c>
      <c r="C100" s="2" t="s">
        <v>6</v>
      </c>
      <c r="D100" s="2" t="s">
        <v>14</v>
      </c>
      <c r="E100" s="2" t="s">
        <v>12</v>
      </c>
      <c r="F100" s="2" t="s">
        <v>13</v>
      </c>
      <c r="G100" s="4">
        <v>10</v>
      </c>
      <c r="H100" s="6">
        <v>49.990000000000002</v>
      </c>
      <c r="I100" s="7">
        <f t="shared" si="2"/>
        <v>499.90000000000003</v>
      </c>
      <c r="J100" s="2">
        <f t="shared" si="3"/>
        <v>2024</v>
      </c>
    </row>
    <row r="101" ht="18.75">
      <c r="A101" s="2" t="s">
        <v>126</v>
      </c>
      <c r="B101" s="3">
        <v>45538</v>
      </c>
      <c r="C101" s="2" t="s">
        <v>4</v>
      </c>
      <c r="D101" s="2" t="s">
        <v>20</v>
      </c>
      <c r="E101" s="2" t="s">
        <v>18</v>
      </c>
      <c r="F101" s="2" t="s">
        <v>22</v>
      </c>
      <c r="G101" s="4">
        <v>22</v>
      </c>
      <c r="H101" s="6">
        <v>149.99000000000001</v>
      </c>
      <c r="I101" s="7">
        <f t="shared" si="2"/>
        <v>3299.7800000000002</v>
      </c>
      <c r="J101" s="2">
        <f t="shared" si="3"/>
        <v>2024</v>
      </c>
    </row>
    <row r="102" ht="18.75">
      <c r="A102" s="2" t="s">
        <v>127</v>
      </c>
      <c r="B102" s="3">
        <v>45552</v>
      </c>
      <c r="C102" s="2" t="s">
        <v>5</v>
      </c>
      <c r="D102" s="2" t="s">
        <v>23</v>
      </c>
      <c r="E102" s="2" t="s">
        <v>21</v>
      </c>
      <c r="F102" s="2" t="s">
        <v>16</v>
      </c>
      <c r="G102" s="4">
        <v>30</v>
      </c>
      <c r="H102" s="6">
        <v>79.989999999999995</v>
      </c>
      <c r="I102" s="7">
        <f t="shared" si="2"/>
        <v>2399.6999999999998</v>
      </c>
      <c r="J102" s="2">
        <f t="shared" si="3"/>
        <v>2024</v>
      </c>
    </row>
    <row r="103" ht="18.75">
      <c r="A103" s="2" t="s">
        <v>128</v>
      </c>
      <c r="B103" s="3">
        <v>45566</v>
      </c>
      <c r="C103" s="2" t="s">
        <v>3</v>
      </c>
      <c r="D103" s="2" t="s">
        <v>11</v>
      </c>
      <c r="E103" s="2" t="s">
        <v>15</v>
      </c>
      <c r="F103" s="2" t="s">
        <v>19</v>
      </c>
      <c r="G103" s="4">
        <v>7</v>
      </c>
      <c r="H103" s="6">
        <v>129.99000000000001</v>
      </c>
      <c r="I103" s="7">
        <f t="shared" si="2"/>
        <v>909.93000000000006</v>
      </c>
      <c r="J103" s="2">
        <f t="shared" si="3"/>
        <v>2024</v>
      </c>
    </row>
    <row r="104" ht="18.75">
      <c r="A104" s="2" t="s">
        <v>129</v>
      </c>
      <c r="B104" s="3">
        <v>45580</v>
      </c>
      <c r="C104" s="2" t="s">
        <v>2</v>
      </c>
      <c r="D104" s="2" t="s">
        <v>17</v>
      </c>
      <c r="E104" s="2" t="s">
        <v>12</v>
      </c>
      <c r="F104" s="2" t="s">
        <v>13</v>
      </c>
      <c r="G104" s="4">
        <v>19</v>
      </c>
      <c r="H104" s="6">
        <v>49.990000000000002</v>
      </c>
      <c r="I104" s="7">
        <f t="shared" si="2"/>
        <v>949.81000000000006</v>
      </c>
      <c r="J104" s="2">
        <f t="shared" si="3"/>
        <v>2024</v>
      </c>
    </row>
  </sheetData>
  <pageMargins left="0.69999999999999996" right="0.69999999999999996" top="0.75" bottom="0.75" header="0.29999999999999999" footer="0.29999999999999999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2026-07-28T10:01:45Z</dcterms:created>
  <dcterms:modified xsi:type="dcterms:W3CDTF">2026-07-29T09:10:41Z</dcterms:modified>
  <cp:category/>
  <cp:contentStatus/>
</cp:coreProperties>
</file>